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7736c41b9ecc702/Área de Trabalho/Projetos VScode/Dados/Projeto_Vendas/"/>
    </mc:Choice>
  </mc:AlternateContent>
  <xr:revisionPtr revIDLastSave="357" documentId="11_11B9D2BFD3D054902C0914D04B5ED87656CD74C3" xr6:coauthVersionLast="47" xr6:coauthVersionMax="47" xr10:uidLastSave="{8CB3159F-CCAA-4DB6-8A20-5C603803A91C}"/>
  <bookViews>
    <workbookView xWindow="-120" yWindow="-120" windowWidth="29040" windowHeight="15720" activeTab="2" xr2:uid="{00000000-000D-0000-FFFF-FFFF00000000}"/>
  </bookViews>
  <sheets>
    <sheet name="Database" sheetId="1" r:id="rId1"/>
    <sheet name="Tabelas Dinâmicas" sheetId="2" r:id="rId2"/>
    <sheet name="Visualização" sheetId="4" r:id="rId3"/>
  </sheets>
  <definedNames>
    <definedName name="SegmentaçãodeDados_categoria">#N/A</definedName>
    <definedName name="SegmentaçãodeDados_data">#N/A</definedName>
    <definedName name="SegmentaçãodeDados_produt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</calcChain>
</file>

<file path=xl/sharedStrings.xml><?xml version="1.0" encoding="utf-8"?>
<sst xmlns="http://schemas.openxmlformats.org/spreadsheetml/2006/main" count="461" uniqueCount="42">
  <si>
    <t>data</t>
  </si>
  <si>
    <t>produto</t>
  </si>
  <si>
    <t>categoria</t>
  </si>
  <si>
    <t>quantidade</t>
  </si>
  <si>
    <t>preco_unitario</t>
  </si>
  <si>
    <t>Mouse Sem Fio</t>
  </si>
  <si>
    <t>Acessórios</t>
  </si>
  <si>
    <t>Smartphone</t>
  </si>
  <si>
    <t>Eletrônicos</t>
  </si>
  <si>
    <t>Webcam HD</t>
  </si>
  <si>
    <t>Fone Bluetooth</t>
  </si>
  <si>
    <t>Monitor 4K</t>
  </si>
  <si>
    <t>Teclado Mecânico</t>
  </si>
  <si>
    <t>Cadeira Gamer</t>
  </si>
  <si>
    <t>Móveis</t>
  </si>
  <si>
    <t>Mesa de Escritório</t>
  </si>
  <si>
    <t>Estante</t>
  </si>
  <si>
    <t>Notebook Pro</t>
  </si>
  <si>
    <t>Tablet</t>
  </si>
  <si>
    <t>Sofá</t>
  </si>
  <si>
    <t>Faturamento</t>
  </si>
  <si>
    <t>Total Geral</t>
  </si>
  <si>
    <t>Soma de Faturamento</t>
  </si>
  <si>
    <t>Produtos</t>
  </si>
  <si>
    <t>Categorias</t>
  </si>
  <si>
    <t>Faturamento por Produto</t>
  </si>
  <si>
    <t>Faturamento por Categoria</t>
  </si>
  <si>
    <t>Quantidade Vendas por Produto</t>
  </si>
  <si>
    <t>Soma de quantidade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</si>
  <si>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</si>
  <si>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</si>
  <si>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</si>
  <si>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</si>
  <si>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</si>
  <si>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</si>
  <si>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</si>
  <si>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</si>
  <si>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</si>
  <si>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</si>
  <si>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</si>
  <si>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</si>
  <si>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Vendas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</si>
</sst>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17/10/relationships/person" Target="persons/perso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[vendas.xlsx]Tabelas Dinâmicas!Tabela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Faturamento</a:t>
            </a:r>
            <a:r>
              <a:rPr lang="en-US" sz="2400" b="1" baseline="0"/>
              <a:t> por Produto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'Tabelas Dinâmicas'!$B$2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'Tabelas Dinâmicas'!$A$3:$A$15</c:f>
              <c:strCache>
                <c:ptCount val="12"/>
                <c:pt idx="0">
                  <c:v>Cadeira Gamer</c:v>
                </c:pt>
                <c:pt idx="1">
                  <c:v>Estante</c:v>
                </c:pt>
                <c:pt idx="2">
                  <c:v>Fone Bluetooth</c:v>
                </c:pt>
                <c:pt idx="3">
                  <c:v>Mesa de Escritório</c:v>
                </c:pt>
                <c:pt idx="4">
                  <c:v>Monitor 4K</c:v>
                </c:pt>
                <c:pt idx="5">
                  <c:v>Mouse Sem Fio</c:v>
                </c:pt>
                <c:pt idx="6">
                  <c:v>Notebook Pro</c:v>
                </c:pt>
                <c:pt idx="7">
                  <c:v>Smartphone</c:v>
                </c:pt>
                <c:pt idx="8">
                  <c:v>Sofá</c:v>
                </c:pt>
                <c:pt idx="9">
                  <c:v>Tablet</c:v>
                </c:pt>
                <c:pt idx="10">
                  <c:v>Teclado Mecânico</c:v>
                </c:pt>
                <c:pt idx="11">
                  <c:v>Webcam HD</c:v>
                </c:pt>
              </c:strCache>
            </c:strRef>
          </c:cat>
          <c:val>
            <c:numRef>
              <c:f>'Tabelas Dinâmicas'!$B$3:$B$15</c:f>
              <c:numCache>
                <c:formatCode>General</c:formatCode>
                <c:ptCount val="12"/>
                <c:pt idx="0">
                  <c:v>209684.32</c:v>
                </c:pt>
                <c:pt idx="1">
                  <c:v>264256.20999999996</c:v>
                </c:pt>
                <c:pt idx="2">
                  <c:v>175530.74000000002</c:v>
                </c:pt>
                <c:pt idx="3">
                  <c:v>287556.03000000003</c:v>
                </c:pt>
                <c:pt idx="4">
                  <c:v>291976.31000000006</c:v>
                </c:pt>
                <c:pt idx="5">
                  <c:v>132761.13</c:v>
                </c:pt>
                <c:pt idx="6">
                  <c:v>284115.26999999996</c:v>
                </c:pt>
                <c:pt idx="7">
                  <c:v>229793.44000000003</c:v>
                </c:pt>
                <c:pt idx="8">
                  <c:v>166988.65</c:v>
                </c:pt>
                <c:pt idx="9">
                  <c:v>116611.44</c:v>
                </c:pt>
                <c:pt idx="10">
                  <c:v>310675.88</c:v>
                </c:pt>
                <c:pt idx="11">
                  <c:v>185837.44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A-4E55-AABD-F88969835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9363167"/>
        <c:axId val="919363647"/>
        <c:axId val="0"/>
      </c:bar3DChart>
      <c:catAx>
        <c:axId val="91936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9363647"/>
        <c:crosses val="autoZero"/>
        <c:auto val="1"/>
        <c:lblAlgn val="ctr"/>
        <c:lblOffset val="100"/>
        <c:noMultiLvlLbl val="0"/>
      </c:catAx>
      <c:valAx>
        <c:axId val="9193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936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[vendas.xlsx]Tabelas Dinâmicas!Tabela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Quantidade 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Dinâmicas'!$F$10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'Tabelas Dinâmicas'!$E$11:$E$23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Dinâmicas'!$F$11:$F$23</c:f>
              <c:numCache>
                <c:formatCode>General</c:formatCode>
                <c:ptCount val="12"/>
                <c:pt idx="0">
                  <c:v>236566.69000000003</c:v>
                </c:pt>
                <c:pt idx="1">
                  <c:v>320968.52</c:v>
                </c:pt>
                <c:pt idx="2">
                  <c:v>288879.69</c:v>
                </c:pt>
                <c:pt idx="3">
                  <c:v>346527.78</c:v>
                </c:pt>
                <c:pt idx="4">
                  <c:v>292076.39</c:v>
                </c:pt>
                <c:pt idx="5">
                  <c:v>116217.97</c:v>
                </c:pt>
                <c:pt idx="6">
                  <c:v>189218.33</c:v>
                </c:pt>
                <c:pt idx="7">
                  <c:v>234179.11</c:v>
                </c:pt>
                <c:pt idx="8">
                  <c:v>170584.05000000002</c:v>
                </c:pt>
                <c:pt idx="9">
                  <c:v>93226.020000000019</c:v>
                </c:pt>
                <c:pt idx="10">
                  <c:v>104746.18000000001</c:v>
                </c:pt>
                <c:pt idx="11">
                  <c:v>262596.13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D-4740-B67A-712052F5F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74399"/>
        <c:axId val="677160623"/>
      </c:lineChart>
      <c:catAx>
        <c:axId val="80287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7160623"/>
        <c:crosses val="autoZero"/>
        <c:auto val="1"/>
        <c:lblAlgn val="ctr"/>
        <c:lblOffset val="100"/>
        <c:noMultiLvlLbl val="0"/>
      </c:catAx>
      <c:valAx>
        <c:axId val="67716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87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[vendas.xlsx]Tabelas Dinâmicas!Tabela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5D-42F8-AC05-CC31B40863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5D-42F8-AC05-CC31B40863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5D-42F8-AC05-CC31B40863AC}"/>
              </c:ext>
            </c:extLst>
          </c:dPt>
          <c:cat>
            <c:strRef>
              <c:f>'Tabelas Dinâmicas'!$E$3:$E$6</c:f>
              <c:strCache>
                <c:ptCount val="3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</c:strCache>
            </c:strRef>
          </c:cat>
          <c:val>
            <c:numRef>
              <c:f>'Tabelas Dinâmicas'!$F$3:$F$6</c:f>
              <c:numCache>
                <c:formatCode>General</c:formatCode>
                <c:ptCount val="3"/>
                <c:pt idx="0">
                  <c:v>804805.19</c:v>
                </c:pt>
                <c:pt idx="1">
                  <c:v>922496.46000000008</c:v>
                </c:pt>
                <c:pt idx="2">
                  <c:v>928485.21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5D-42F8-AC05-CC31B408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56922120761577"/>
          <c:y val="0.41547105355842551"/>
          <c:w val="0.12317563354144596"/>
          <c:h val="0.309247941348694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[vendas.xlsx]Tabelas Dinâmicas!Tabela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Quantidade Vendas</a:t>
            </a:r>
            <a:r>
              <a:rPr lang="en-US" sz="2400" b="1" baseline="0"/>
              <a:t> por Produto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'Tabelas Dinâmicas'!$J$2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'Tabelas Dinâmicas'!$I$3:$I$15</c:f>
              <c:strCache>
                <c:ptCount val="12"/>
                <c:pt idx="0">
                  <c:v>Cadeira Gamer</c:v>
                </c:pt>
                <c:pt idx="1">
                  <c:v>Estante</c:v>
                </c:pt>
                <c:pt idx="2">
                  <c:v>Fone Bluetooth</c:v>
                </c:pt>
                <c:pt idx="3">
                  <c:v>Mesa de Escritório</c:v>
                </c:pt>
                <c:pt idx="4">
                  <c:v>Monitor 4K</c:v>
                </c:pt>
                <c:pt idx="5">
                  <c:v>Mouse Sem Fio</c:v>
                </c:pt>
                <c:pt idx="6">
                  <c:v>Notebook Pro</c:v>
                </c:pt>
                <c:pt idx="7">
                  <c:v>Smartphone</c:v>
                </c:pt>
                <c:pt idx="8">
                  <c:v>Sofá</c:v>
                </c:pt>
                <c:pt idx="9">
                  <c:v>Tablet</c:v>
                </c:pt>
                <c:pt idx="10">
                  <c:v>Teclado Mecânico</c:v>
                </c:pt>
                <c:pt idx="11">
                  <c:v>Webcam HD</c:v>
                </c:pt>
              </c:strCache>
            </c:strRef>
          </c:cat>
          <c:val>
            <c:numRef>
              <c:f>'Tabelas Dinâmicas'!$J$3:$J$15</c:f>
              <c:numCache>
                <c:formatCode>General</c:formatCode>
                <c:ptCount val="12"/>
                <c:pt idx="0">
                  <c:v>101</c:v>
                </c:pt>
                <c:pt idx="1">
                  <c:v>78</c:v>
                </c:pt>
                <c:pt idx="2">
                  <c:v>84</c:v>
                </c:pt>
                <c:pt idx="3">
                  <c:v>92</c:v>
                </c:pt>
                <c:pt idx="4">
                  <c:v>130</c:v>
                </c:pt>
                <c:pt idx="5">
                  <c:v>66</c:v>
                </c:pt>
                <c:pt idx="6">
                  <c:v>114</c:v>
                </c:pt>
                <c:pt idx="7">
                  <c:v>96</c:v>
                </c:pt>
                <c:pt idx="8">
                  <c:v>76</c:v>
                </c:pt>
                <c:pt idx="9">
                  <c:v>52</c:v>
                </c:pt>
                <c:pt idx="10">
                  <c:v>140</c:v>
                </c:pt>
                <c:pt idx="1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6-42BA-977A-4A08518D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5928239"/>
        <c:axId val="715930639"/>
        <c:axId val="0"/>
      </c:bar3DChart>
      <c:catAx>
        <c:axId val="7159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930639"/>
        <c:crosses val="autoZero"/>
        <c:auto val="1"/>
        <c:lblAlgn val="ctr"/>
        <c:lblOffset val="100"/>
        <c:noMultiLvlLbl val="0"/>
      </c:catAx>
      <c:valAx>
        <c:axId val="7159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92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58394</xdr:colOff>
      <xdr:row>15</xdr:row>
      <xdr:rowOff>176420</xdr:rowOff>
    </xdr:from>
    <xdr:to>
      <xdr:col>1</xdr:col>
      <xdr:colOff>99391</xdr:colOff>
      <xdr:row>29</xdr:row>
      <xdr:rowOff>33545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09855806-EA08-454F-68E8-22D202D34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94" y="3183007"/>
              <a:ext cx="131651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103947</xdr:colOff>
      <xdr:row>15</xdr:row>
      <xdr:rowOff>180561</xdr:rowOff>
    </xdr:from>
    <xdr:to>
      <xdr:col>1</xdr:col>
      <xdr:colOff>1714499</xdr:colOff>
      <xdr:row>29</xdr:row>
      <xdr:rowOff>37686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to">
              <a:extLst>
                <a:ext uri="{FF2B5EF4-FFF2-40B4-BE49-F238E27FC236}">
                  <a16:creationId xmlns:a16="http://schemas.microsoft.com/office/drawing/2014/main" id="{F3A7B29F-68A2-C9F2-3775-B43D94AD3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469" y="3187148"/>
              <a:ext cx="161055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1722782</xdr:colOff>
      <xdr:row>22</xdr:row>
      <xdr:rowOff>52183</xdr:rowOff>
    </xdr:from>
    <xdr:to>
      <xdr:col>3</xdr:col>
      <xdr:colOff>554935</xdr:colOff>
      <xdr:row>29</xdr:row>
      <xdr:rowOff>49697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A917EA5F-11C2-7E68-4953-CFC4163ED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8304" y="4392270"/>
              <a:ext cx="1258957" cy="13310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19</xdr:row>
      <xdr:rowOff>180974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8A1677EF-0A39-BB33-A4E9-7B27AAABB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609487</xdr:colOff>
      <xdr:row>0</xdr:row>
      <xdr:rowOff>0</xdr:rowOff>
    </xdr:from>
    <xdr:to>
      <xdr:col>19</xdr:col>
      <xdr:colOff>480392</xdr:colOff>
      <xdr:row>19</xdr:row>
      <xdr:rowOff>180975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DFA3C087-F3D1-6FC0-2C49-8368A12E3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8526</xdr:colOff>
      <xdr:row>19</xdr:row>
      <xdr:rowOff>186017</xdr:rowOff>
    </xdr:from>
    <xdr:to>
      <xdr:col>19</xdr:col>
      <xdr:colOff>481853</xdr:colOff>
      <xdr:row>39</xdr:row>
      <xdr:rowOff>67235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443622B3-74F4-A8F9-CE10-3393BFC57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5324</xdr:colOff>
      <xdr:row>19</xdr:row>
      <xdr:rowOff>185057</xdr:rowOff>
    </xdr:from>
    <xdr:to>
      <xdr:col>10</xdr:col>
      <xdr:colOff>8283</xdr:colOff>
      <xdr:row>39</xdr:row>
      <xdr:rowOff>66260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A862861E-A7E0-F89D-7261-F446AAC7E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 NAGANO" refreshedDate="46035.959254513888" createdVersion="8" refreshedVersion="8" minRefreshableVersion="3" recordCount="200" xr:uid="{AB4B9D82-70FE-440C-B9FD-7631040FB3D4}">
  <cacheSource type="worksheet">
    <worksheetSource ref="A1:F201" sheet="Database"/>
  </cacheSource>
  <cacheFields count="9">
    <cacheField name="data" numFmtId="14">
      <sharedItems containsSemiMixedTypes="0" containsNonDate="0" containsDate="1" containsString="0" minDate="2024-01-02T00:00:00" maxDate="2025-05-14T00:00:00" count="162">
        <d v="2024-04-12T00:00:00"/>
        <d v="2025-03-11T00:00:00"/>
        <d v="2024-12-14T00:00:00"/>
        <d v="2024-09-27T00:00:00"/>
        <d v="2024-04-16T00:00:00"/>
        <d v="2024-03-12T00:00:00"/>
        <d v="2024-07-07T00:00:00"/>
        <d v="2024-01-21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4-12-25T00:00:00"/>
        <d v="2024-05-31T00:00:00"/>
        <d v="2024-05-10T00:00:00"/>
        <d v="2024-05-29T00:00:00"/>
        <d v="2024-11-04T00:00:00"/>
        <d v="2024-09-14T00:00:00"/>
        <d v="2024-12-09T00:00:00"/>
        <d v="2025-05-06T00:00:00"/>
        <d v="2025-02-17T00:00:00"/>
        <d v="2024-10-20T00:00:00"/>
        <d v="2025-01-20T00:00:00"/>
        <d v="2024-07-10T00:00:00"/>
        <d v="2025-03-19T00:00:00"/>
        <d v="2024-10-03T00:00:00"/>
        <d v="2024-06-09T00:00:00"/>
        <d v="2025-04-04T00:00:00"/>
        <d v="2024-11-09T00:00:00"/>
        <d v="2024-01-22T00:00:00"/>
        <d v="2024-09-09T00:00:00"/>
        <d v="2024-08-23T00:00:00"/>
        <d v="2024-12-10T00:00:00"/>
        <d v="2024-02-18T00:00:00"/>
        <d v="2025-04-19T00:00:00"/>
        <d v="2024-02-28T00:00:00"/>
        <d v="2024-06-18T00:00:00"/>
        <d v="2025-04-20T00:00:00"/>
        <d v="2024-07-06T00:00:00"/>
        <d v="2025-04-08T00:00:00"/>
        <d v="2024-07-08T00:00:00"/>
        <d v="2025-03-21T00:00:00"/>
        <d v="2024-06-23T00:00:00"/>
        <d v="2024-02-20T00:00:00"/>
        <d v="2024-12-29T00:00:00"/>
        <d v="2024-02-24T00:00:00"/>
        <d v="2024-08-31T00:00:00"/>
        <d v="2024-11-15T00:00:00"/>
        <d v="2025-04-29T00:00:00"/>
        <d v="2024-11-02T00:00:00"/>
        <d v="2024-05-14T00:00:00"/>
        <d v="2024-11-24T00:00:00"/>
        <d v="2024-06-15T00:00:00"/>
        <d v="2024-09-30T00:00:00"/>
        <d v="2025-01-22T00:00:00"/>
        <d v="2024-03-29T00:00:00"/>
        <d v="2024-11-11T00:00:00"/>
        <d v="2024-01-14T00:00:00"/>
        <d v="2024-08-29T00:00:00"/>
        <d v="2024-09-21T00:00:00"/>
        <d v="2024-12-11T00:00:00"/>
        <d v="2024-02-22T00:00:00"/>
        <d v="2024-12-05T00:00:00"/>
        <d v="2024-04-01T00:00:00"/>
        <d v="2025-01-01T00:00:00"/>
        <d v="2025-03-30T00:00:00"/>
        <d v="2025-03-03T00:00:00"/>
        <d v="2024-09-20T00:00:00"/>
        <d v="2025-03-06T00:00:00"/>
        <d v="2024-02-04T00:00:00"/>
        <d v="2024-07-24T00:00:00"/>
        <d v="2024-03-21T00:00:00"/>
        <d v="2025-02-23T00:00:00"/>
        <d v="2024-02-19T00:00:00"/>
        <d v="2024-01-02T00:00:00"/>
        <d v="2025-01-24T00:00:00"/>
        <d v="2024-02-23T00:00:00"/>
        <d v="2024-04-15T00:00:00"/>
        <d v="2024-09-16T00:00:00"/>
        <d v="2024-11-05T00:00:00"/>
        <d v="2025-04-21T00:00:00"/>
        <d v="2024-07-09T00:00:00"/>
        <d v="2025-02-05T00:00:00"/>
        <d v="2024-08-05T00:00:00"/>
        <d v="2024-02-13T00:00:00"/>
        <d v="2024-06-10T00:00:00"/>
        <d v="2024-07-20T00:00:00"/>
        <d v="2025-04-28T00:00:00"/>
        <d v="2024-09-26T00:00:00"/>
        <d v="2024-12-16T00:00:00"/>
        <d v="2024-10-30T00:00:00"/>
        <d v="2025-03-31T00:00:00"/>
        <d v="2025-04-06T00:00:00"/>
        <d v="2024-09-08T00:00:00"/>
        <d v="2024-10-22T00:00:00"/>
        <d v="2024-07-31T00:00:00"/>
        <d v="2024-07-26T00:00:00"/>
        <d v="2024-08-24T00:00:00"/>
        <d v="2024-12-03T00:00:00"/>
        <d v="2024-10-06T00:00:00"/>
        <d v="2025-02-13T00:00:00"/>
        <d v="2024-08-04T00:00:00"/>
        <d v="2025-01-14T00:00:00"/>
        <d v="2025-05-07T00:00:00"/>
        <d v="2024-02-10T00:00:00"/>
        <d v="2024-06-05T00:00:00"/>
        <d v="2024-01-15T00:00:00"/>
        <d v="2024-10-27T00:00:00"/>
        <d v="2024-03-05T00:00:00"/>
        <d v="2024-11-22T00:00:00"/>
        <d v="2024-01-09T00:00:00"/>
        <d v="2024-05-08T00:00:00"/>
        <d v="2024-05-15T00:00:00"/>
        <d v="2025-04-16T00:00:00"/>
        <d v="2024-03-03T00:00:00"/>
        <d v="2024-05-18T00:00:00"/>
        <d v="2025-05-13T00:00:00"/>
        <d v="2025-01-26T00:00:00"/>
        <d v="2024-06-11T00:00:00"/>
        <d v="2025-02-22T00:00:00"/>
        <d v="2024-10-15T00:00:00"/>
        <d v="2025-01-13T00:00:00"/>
        <d v="2024-09-17T00:00:00"/>
        <d v="2025-05-04T00:00:00"/>
        <d v="2024-08-18T00:00:00"/>
        <d v="2024-01-28T00:00:00"/>
        <d v="2024-07-19T00:00:00"/>
        <d v="2024-11-23T00:00:00"/>
        <d v="2024-09-24T00:00:00"/>
        <d v="2025-02-21T00:00:00"/>
        <d v="2024-02-02T00:00:00"/>
        <d v="2024-02-17T00:00:00"/>
        <d v="2025-02-10T00:00:00"/>
        <d v="2024-03-02T00:00:00"/>
        <d v="2024-08-03T00:00:00"/>
        <d v="2024-10-19T00:00:00"/>
        <d v="2024-04-08T00:00:00"/>
        <d v="2024-06-20T00:00:00"/>
        <d v="2024-08-01T00:00:00"/>
        <d v="2025-03-24T00:00:00"/>
        <d v="2024-08-14T00:00:00"/>
        <d v="2024-04-10T00:00:00"/>
        <d v="2024-09-13T00:00:00"/>
        <d v="2024-01-05T00:00:00"/>
        <d v="2024-09-11T00:00:00"/>
        <d v="2025-02-01T00:00:00"/>
        <d v="2024-12-24T00:00:00"/>
        <d v="2024-10-09T00:00:00"/>
        <d v="2025-01-27T00:00:00"/>
        <d v="2024-07-25T00:00:00"/>
        <d v="2024-02-11T00:00:00"/>
        <d v="2025-04-05T00:00:00"/>
        <d v="2024-06-27T00:00:00"/>
        <d v="2024-12-17T00:00:00"/>
        <d v="2024-08-28T00:00:00"/>
        <d v="2024-02-21T00:00:00"/>
        <d v="2024-04-05T00:00:00"/>
        <d v="2024-08-09T00:00:00"/>
      </sharedItems>
      <fieldGroup par="8"/>
    </cacheField>
    <cacheField name="produto" numFmtId="0">
      <sharedItems count="12">
        <s v="Mouse Sem Fio"/>
        <s v="Smartphone"/>
        <s v="Webcam HD"/>
        <s v="Fone Bluetooth"/>
        <s v="Monitor 4K"/>
        <s v="Teclado Mecânico"/>
        <s v="Cadeira Gamer"/>
        <s v="Mesa de Escritório"/>
        <s v="Estante"/>
        <s v="Notebook Pro"/>
        <s v="Tablet"/>
        <s v="Sofá"/>
      </sharedItems>
    </cacheField>
    <cacheField name="categoria" numFmtId="0">
      <sharedItems count="3">
        <s v="Acessórios"/>
        <s v="Eletrônicos"/>
        <s v="Móveis"/>
      </sharedItems>
    </cacheField>
    <cacheField name="quantidade" numFmtId="0">
      <sharedItems containsSemiMixedTypes="0" containsString="0" containsNumber="1" containsInteger="1" minValue="1" maxValue="10"/>
    </cacheField>
    <cacheField name="preco_unitario" numFmtId="0">
      <sharedItems containsSemiMixedTypes="0" containsString="0" containsNumber="1" minValue="171.27" maxValue="4998.62"/>
    </cacheField>
    <cacheField name="Faturamento" numFmtId="0">
      <sharedItems containsSemiMixedTypes="0" containsString="0" containsNumber="1" minValue="171.27" maxValue="49835.200000000004" count="200">
        <n v="4670.37"/>
        <n v="34749.68"/>
        <n v="1607.85"/>
        <n v="916.8"/>
        <n v="15557.36"/>
        <n v="28501.97"/>
        <n v="9875.2999999999993"/>
        <n v="837.04"/>
        <n v="12044.96"/>
        <n v="15730.96"/>
        <n v="9705.16"/>
        <n v="12679.14"/>
        <n v="4207.8100000000004"/>
        <n v="2396.6"/>
        <n v="6397.86"/>
        <n v="7198.4500000000007"/>
        <n v="1128.72"/>
        <n v="4337.1400000000003"/>
        <n v="4083.21"/>
        <n v="39988.959999999999"/>
        <n v="49835.200000000004"/>
        <n v="5643.24"/>
        <n v="11604.119999999999"/>
        <n v="9458.7000000000007"/>
        <n v="12789.810000000001"/>
        <n v="9184.07"/>
        <n v="2307.67"/>
        <n v="7328.8"/>
        <n v="38198.800000000003"/>
        <n v="30702.600000000002"/>
        <n v="12203.5"/>
        <n v="33913.300000000003"/>
        <n v="6257.66"/>
        <n v="5565"/>
        <n v="5907.87"/>
        <n v="23734.97"/>
        <n v="10598.04"/>
        <n v="38843.599999999999"/>
        <n v="13244"/>
        <n v="8551.3799999999992"/>
        <n v="22434.720000000001"/>
        <n v="11394.4"/>
        <n v="39560.400000000001"/>
        <n v="10385.35"/>
        <n v="6810.03"/>
        <n v="964.16"/>
        <n v="38001.699999999997"/>
        <n v="15697.6"/>
        <n v="31949.909999999996"/>
        <n v="9148.16"/>
        <n v="2304.66"/>
        <n v="171.27"/>
        <n v="5453.64"/>
        <n v="11962.4"/>
        <n v="4044"/>
        <n v="2243.63"/>
        <n v="31712.66"/>
        <n v="14451.6"/>
        <n v="18329.850000000002"/>
        <n v="19699.5"/>
        <n v="2043.06"/>
        <n v="22037.539999999997"/>
        <n v="30279.059999999998"/>
        <n v="42773.85"/>
        <n v="2461.98"/>
        <n v="41762.519999999997"/>
        <n v="2511.37"/>
        <n v="1365.4"/>
        <n v="9399.08"/>
        <n v="44119.44"/>
        <n v="15082.98"/>
        <n v="5132.6400000000003"/>
        <n v="3203.66"/>
        <n v="5106.84"/>
        <n v="4245.57"/>
        <n v="2194.5299999999997"/>
        <n v="6546.78"/>
        <n v="5910.2400000000007"/>
        <n v="3121"/>
        <n v="9720.869999999999"/>
        <n v="9912.1"/>
        <n v="8968.85"/>
        <n v="22471.300000000003"/>
        <n v="7267.23"/>
        <n v="30339.27"/>
        <n v="3777.48"/>
        <n v="5211.1000000000004"/>
        <n v="1201.04"/>
        <n v="4638.8999999999996"/>
        <n v="10255.629999999999"/>
        <n v="8706.15"/>
        <n v="3742.48"/>
        <n v="3455.6"/>
        <n v="23578.2"/>
        <n v="11110.4"/>
        <n v="13194.44"/>
        <n v="25667.399999999998"/>
        <n v="17414.649999999998"/>
        <n v="877.89"/>
        <n v="28119.77"/>
        <n v="6353.42"/>
        <n v="4505.58"/>
        <n v="43805.4"/>
        <n v="46122.700000000004"/>
        <n v="399.28"/>
        <n v="8740.2000000000007"/>
        <n v="28352.73"/>
        <n v="30131.759999999998"/>
        <n v="10041.5"/>
        <n v="10132.289999999999"/>
        <n v="3830.62"/>
        <n v="24741.599999999999"/>
        <n v="6258.9"/>
        <n v="9538.4"/>
        <n v="11832.1"/>
        <n v="22575.66"/>
        <n v="839.25"/>
        <n v="10695.52"/>
        <n v="3595.41"/>
        <n v="26919.06"/>
        <n v="10428.879999999999"/>
        <n v="2707.36"/>
        <n v="4375.9799999999996"/>
        <n v="20630.88"/>
        <n v="10839.28"/>
        <n v="5152.4399999999996"/>
        <n v="8515.74"/>
        <n v="5846.07"/>
        <n v="1190.0999999999999"/>
        <n v="11747.33"/>
        <n v="11361"/>
        <n v="17047.400000000001"/>
        <n v="2060.4900000000002"/>
        <n v="31245.059999999998"/>
        <n v="9025.7999999999993"/>
        <n v="6855.2"/>
        <n v="39669.4"/>
        <n v="10169.48"/>
        <n v="4207.28"/>
        <n v="24586.38"/>
        <n v="20828.64"/>
        <n v="3752.65"/>
        <n v="6645.39"/>
        <n v="6526.26"/>
        <n v="1490.5"/>
        <n v="16911.899999999998"/>
        <n v="26119.919999999998"/>
        <n v="2896.81"/>
        <n v="11069.22"/>
        <n v="24669.599999999999"/>
        <n v="18409.800000000003"/>
        <n v="12624.1"/>
        <n v="2993.65"/>
        <n v="5094.0599999999995"/>
        <n v="6525.9500000000007"/>
        <n v="4436.7"/>
        <n v="4056.72"/>
        <n v="4490.91"/>
        <n v="2848.59"/>
        <n v="17976.599999999999"/>
        <n v="4438.3499999999995"/>
        <n v="5340.22"/>
        <n v="18998.46"/>
        <n v="4913.66"/>
        <n v="648.99"/>
        <n v="10247.449999999999"/>
        <n v="29102.46"/>
        <n v="26045.879999999997"/>
        <n v="12310.949999999999"/>
        <n v="9546.0400000000009"/>
        <n v="8436.15"/>
        <n v="33763.5"/>
        <n v="37231.519999999997"/>
        <n v="16968.84"/>
        <n v="23207.200000000001"/>
        <n v="7359.5"/>
        <n v="30964.16"/>
        <n v="10165.1"/>
        <n v="6744.12"/>
        <n v="21846.399999999998"/>
        <n v="20698.32"/>
        <n v="12878.099999999999"/>
        <n v="1325.4"/>
        <n v="15460.2"/>
        <n v="13628.61"/>
        <n v="11792.28"/>
        <n v="5138.28"/>
        <n v="2457.59"/>
        <n v="24387.21"/>
        <n v="353.94"/>
        <n v="8746.7999999999993"/>
        <n v="3034.52"/>
        <n v="1231.6200000000001"/>
        <n v="29704.86"/>
        <n v="3359.06"/>
        <n v="12205.14"/>
        <n v="6738.7"/>
        <n v="30954.240000000002"/>
        <n v="7650.24"/>
        <n v="30186.300000000003"/>
      </sharedItems>
    </cacheField>
    <cacheField name="Meses (data)" numFmtId="0" databaseField="0">
      <fieldGroup base="0">
        <rangePr groupBy="months" startDate="2024-01-02T00:00:00" endDate="2025-05-14T00:00:00"/>
        <groupItems count="14">
          <s v="&lt;02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4/05/2025"/>
        </groupItems>
      </fieldGroup>
    </cacheField>
    <cacheField name="Trimestres (data)" numFmtId="0" databaseField="0">
      <fieldGroup base="0">
        <rangePr groupBy="quarters" startDate="2024-01-02T00:00:00" endDate="2025-05-14T00:00:00"/>
        <groupItems count="6">
          <s v="&lt;02/01/2024"/>
          <s v="Trim1"/>
          <s v="Trim2"/>
          <s v="Trim3"/>
          <s v="Trim4"/>
          <s v="&gt;14/05/2025"/>
        </groupItems>
      </fieldGroup>
    </cacheField>
    <cacheField name="Anos (data)" numFmtId="0" databaseField="0">
      <fieldGroup base="0">
        <rangePr groupBy="years" startDate="2024-01-02T00:00:00" endDate="2025-05-14T00:00:00"/>
        <groupItems count="4">
          <s v="&lt;02/01/2024"/>
          <s v="2024"/>
          <s v="2025"/>
          <s v="&gt;14/05/2025"/>
        </groupItems>
      </fieldGroup>
    </cacheField>
  </cacheFields>
  <extLst>
    <ext xmlns:x14="http://schemas.microsoft.com/office/spreadsheetml/2009/9/main" uri="{725AE2AE-9491-48be-B2B4-4EB974FC3084}">
      <x14:pivotCacheDefinition pivotCacheId="16451462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"/>
    <n v="4670.37"/>
    <x v="0"/>
  </r>
  <r>
    <x v="1"/>
    <x v="1"/>
    <x v="1"/>
    <n v="8"/>
    <n v="4343.71"/>
    <x v="1"/>
  </r>
  <r>
    <x v="2"/>
    <x v="2"/>
    <x v="0"/>
    <n v="5"/>
    <n v="321.57"/>
    <x v="2"/>
  </r>
  <r>
    <x v="3"/>
    <x v="3"/>
    <x v="0"/>
    <n v="4"/>
    <n v="229.2"/>
    <x v="3"/>
  </r>
  <r>
    <x v="4"/>
    <x v="1"/>
    <x v="1"/>
    <n v="8"/>
    <n v="1944.67"/>
    <x v="4"/>
  </r>
  <r>
    <x v="5"/>
    <x v="4"/>
    <x v="1"/>
    <n v="7"/>
    <n v="4071.71"/>
    <x v="5"/>
  </r>
  <r>
    <x v="6"/>
    <x v="3"/>
    <x v="0"/>
    <n v="2"/>
    <n v="4937.6499999999996"/>
    <x v="6"/>
  </r>
  <r>
    <x v="7"/>
    <x v="2"/>
    <x v="0"/>
    <n v="1"/>
    <n v="837.04"/>
    <x v="7"/>
  </r>
  <r>
    <x v="0"/>
    <x v="5"/>
    <x v="0"/>
    <n v="4"/>
    <n v="3011.24"/>
    <x v="8"/>
  </r>
  <r>
    <x v="8"/>
    <x v="6"/>
    <x v="2"/>
    <n v="8"/>
    <n v="1966.37"/>
    <x v="9"/>
  </r>
  <r>
    <x v="9"/>
    <x v="7"/>
    <x v="2"/>
    <n v="2"/>
    <n v="4852.58"/>
    <x v="10"/>
  </r>
  <r>
    <x v="10"/>
    <x v="8"/>
    <x v="2"/>
    <n v="3"/>
    <n v="4226.38"/>
    <x v="11"/>
  </r>
  <r>
    <x v="11"/>
    <x v="9"/>
    <x v="1"/>
    <n v="1"/>
    <n v="4207.8100000000004"/>
    <x v="12"/>
  </r>
  <r>
    <x v="12"/>
    <x v="7"/>
    <x v="2"/>
    <n v="1"/>
    <n v="2396.6"/>
    <x v="13"/>
  </r>
  <r>
    <x v="13"/>
    <x v="10"/>
    <x v="1"/>
    <n v="3"/>
    <n v="2132.62"/>
    <x v="14"/>
  </r>
  <r>
    <x v="14"/>
    <x v="4"/>
    <x v="1"/>
    <n v="5"/>
    <n v="1439.69"/>
    <x v="15"/>
  </r>
  <r>
    <x v="15"/>
    <x v="7"/>
    <x v="2"/>
    <n v="3"/>
    <n v="376.24"/>
    <x v="16"/>
  </r>
  <r>
    <x v="16"/>
    <x v="11"/>
    <x v="2"/>
    <n v="1"/>
    <n v="4337.1400000000003"/>
    <x v="17"/>
  </r>
  <r>
    <x v="17"/>
    <x v="7"/>
    <x v="2"/>
    <n v="1"/>
    <n v="4083.21"/>
    <x v="18"/>
  </r>
  <r>
    <x v="18"/>
    <x v="2"/>
    <x v="0"/>
    <n v="8"/>
    <n v="4998.62"/>
    <x v="19"/>
  </r>
  <r>
    <x v="19"/>
    <x v="8"/>
    <x v="2"/>
    <n v="10"/>
    <n v="4983.5200000000004"/>
    <x v="20"/>
  </r>
  <r>
    <x v="20"/>
    <x v="5"/>
    <x v="0"/>
    <n v="2"/>
    <n v="2821.62"/>
    <x v="21"/>
  </r>
  <r>
    <x v="21"/>
    <x v="10"/>
    <x v="1"/>
    <n v="3"/>
    <n v="3868.04"/>
    <x v="22"/>
  </r>
  <r>
    <x v="22"/>
    <x v="5"/>
    <x v="0"/>
    <n v="2"/>
    <n v="4729.3500000000004"/>
    <x v="23"/>
  </r>
  <r>
    <x v="23"/>
    <x v="8"/>
    <x v="2"/>
    <n v="3"/>
    <n v="4263.2700000000004"/>
    <x v="24"/>
  </r>
  <r>
    <x v="24"/>
    <x v="10"/>
    <x v="1"/>
    <n v="7"/>
    <n v="1312.01"/>
    <x v="25"/>
  </r>
  <r>
    <x v="25"/>
    <x v="9"/>
    <x v="1"/>
    <n v="1"/>
    <n v="2307.67"/>
    <x v="26"/>
  </r>
  <r>
    <x v="26"/>
    <x v="9"/>
    <x v="1"/>
    <n v="10"/>
    <n v="732.88"/>
    <x v="27"/>
  </r>
  <r>
    <x v="27"/>
    <x v="5"/>
    <x v="0"/>
    <n v="8"/>
    <n v="4774.8500000000004"/>
    <x v="28"/>
  </r>
  <r>
    <x v="28"/>
    <x v="6"/>
    <x v="2"/>
    <n v="10"/>
    <n v="3070.26"/>
    <x v="29"/>
  </r>
  <r>
    <x v="29"/>
    <x v="4"/>
    <x v="1"/>
    <n v="10"/>
    <n v="1220.3499999999999"/>
    <x v="30"/>
  </r>
  <r>
    <x v="30"/>
    <x v="1"/>
    <x v="1"/>
    <n v="10"/>
    <n v="3391.33"/>
    <x v="31"/>
  </r>
  <r>
    <x v="31"/>
    <x v="1"/>
    <x v="1"/>
    <n v="2"/>
    <n v="3128.83"/>
    <x v="32"/>
  </r>
  <r>
    <x v="32"/>
    <x v="3"/>
    <x v="0"/>
    <n v="3"/>
    <n v="1855"/>
    <x v="33"/>
  </r>
  <r>
    <x v="33"/>
    <x v="5"/>
    <x v="0"/>
    <n v="9"/>
    <n v="656.43"/>
    <x v="34"/>
  </r>
  <r>
    <x v="34"/>
    <x v="11"/>
    <x v="2"/>
    <n v="7"/>
    <n v="3390.71"/>
    <x v="35"/>
  </r>
  <r>
    <x v="35"/>
    <x v="3"/>
    <x v="0"/>
    <n v="4"/>
    <n v="2649.51"/>
    <x v="36"/>
  </r>
  <r>
    <x v="36"/>
    <x v="1"/>
    <x v="1"/>
    <n v="10"/>
    <n v="3884.36"/>
    <x v="37"/>
  </r>
  <r>
    <x v="37"/>
    <x v="7"/>
    <x v="2"/>
    <n v="5"/>
    <n v="2648.8"/>
    <x v="38"/>
  </r>
  <r>
    <x v="38"/>
    <x v="10"/>
    <x v="1"/>
    <n v="2"/>
    <n v="4275.6899999999996"/>
    <x v="39"/>
  </r>
  <r>
    <x v="39"/>
    <x v="9"/>
    <x v="1"/>
    <n v="8"/>
    <n v="2804.34"/>
    <x v="40"/>
  </r>
  <r>
    <x v="40"/>
    <x v="3"/>
    <x v="0"/>
    <n v="4"/>
    <n v="2848.6"/>
    <x v="41"/>
  </r>
  <r>
    <x v="41"/>
    <x v="7"/>
    <x v="2"/>
    <n v="9"/>
    <n v="4395.6000000000004"/>
    <x v="42"/>
  </r>
  <r>
    <x v="42"/>
    <x v="0"/>
    <x v="0"/>
    <n v="5"/>
    <n v="2077.0700000000002"/>
    <x v="43"/>
  </r>
  <r>
    <x v="43"/>
    <x v="2"/>
    <x v="0"/>
    <n v="9"/>
    <n v="756.67"/>
    <x v="44"/>
  </r>
  <r>
    <x v="3"/>
    <x v="6"/>
    <x v="2"/>
    <n v="4"/>
    <n v="241.04"/>
    <x v="45"/>
  </r>
  <r>
    <x v="44"/>
    <x v="4"/>
    <x v="1"/>
    <n v="10"/>
    <n v="3800.17"/>
    <x v="46"/>
  </r>
  <r>
    <x v="45"/>
    <x v="9"/>
    <x v="1"/>
    <n v="5"/>
    <n v="3139.52"/>
    <x v="47"/>
  </r>
  <r>
    <x v="46"/>
    <x v="8"/>
    <x v="2"/>
    <n v="9"/>
    <n v="3549.99"/>
    <x v="48"/>
  </r>
  <r>
    <x v="45"/>
    <x v="1"/>
    <x v="1"/>
    <n v="8"/>
    <n v="1143.52"/>
    <x v="49"/>
  </r>
  <r>
    <x v="47"/>
    <x v="11"/>
    <x v="2"/>
    <n v="3"/>
    <n v="768.22"/>
    <x v="50"/>
  </r>
  <r>
    <x v="48"/>
    <x v="6"/>
    <x v="2"/>
    <n v="1"/>
    <n v="171.27"/>
    <x v="51"/>
  </r>
  <r>
    <x v="49"/>
    <x v="2"/>
    <x v="0"/>
    <n v="3"/>
    <n v="1817.88"/>
    <x v="52"/>
  </r>
  <r>
    <x v="50"/>
    <x v="6"/>
    <x v="2"/>
    <n v="4"/>
    <n v="2990.6"/>
    <x v="53"/>
  </r>
  <r>
    <x v="51"/>
    <x v="2"/>
    <x v="0"/>
    <n v="2"/>
    <n v="2022"/>
    <x v="54"/>
  </r>
  <r>
    <x v="18"/>
    <x v="4"/>
    <x v="1"/>
    <n v="1"/>
    <n v="2243.63"/>
    <x v="55"/>
  </r>
  <r>
    <x v="52"/>
    <x v="9"/>
    <x v="1"/>
    <n v="7"/>
    <n v="4530.38"/>
    <x v="56"/>
  </r>
  <r>
    <x v="53"/>
    <x v="4"/>
    <x v="1"/>
    <n v="8"/>
    <n v="1806.45"/>
    <x v="57"/>
  </r>
  <r>
    <x v="54"/>
    <x v="9"/>
    <x v="1"/>
    <n v="7"/>
    <n v="2618.5500000000002"/>
    <x v="58"/>
  </r>
  <r>
    <x v="7"/>
    <x v="2"/>
    <x v="0"/>
    <n v="5"/>
    <n v="3939.9"/>
    <x v="59"/>
  </r>
  <r>
    <x v="55"/>
    <x v="10"/>
    <x v="1"/>
    <n v="1"/>
    <n v="2043.06"/>
    <x v="60"/>
  </r>
  <r>
    <x v="56"/>
    <x v="8"/>
    <x v="2"/>
    <n v="7"/>
    <n v="3148.22"/>
    <x v="61"/>
  </r>
  <r>
    <x v="57"/>
    <x v="8"/>
    <x v="2"/>
    <n v="7"/>
    <n v="4325.58"/>
    <x v="62"/>
  </r>
  <r>
    <x v="58"/>
    <x v="11"/>
    <x v="2"/>
    <n v="9"/>
    <n v="4752.6499999999996"/>
    <x v="63"/>
  </r>
  <r>
    <x v="59"/>
    <x v="5"/>
    <x v="0"/>
    <n v="3"/>
    <n v="820.66"/>
    <x v="64"/>
  </r>
  <r>
    <x v="60"/>
    <x v="9"/>
    <x v="1"/>
    <n v="9"/>
    <n v="4640.28"/>
    <x v="65"/>
  </r>
  <r>
    <x v="61"/>
    <x v="4"/>
    <x v="1"/>
    <n v="1"/>
    <n v="2511.37"/>
    <x v="66"/>
  </r>
  <r>
    <x v="62"/>
    <x v="10"/>
    <x v="1"/>
    <n v="1"/>
    <n v="1365.4"/>
    <x v="67"/>
  </r>
  <r>
    <x v="63"/>
    <x v="3"/>
    <x v="0"/>
    <n v="4"/>
    <n v="2349.77"/>
    <x v="68"/>
  </r>
  <r>
    <x v="64"/>
    <x v="7"/>
    <x v="2"/>
    <n v="9"/>
    <n v="4902.16"/>
    <x v="69"/>
  </r>
  <r>
    <x v="65"/>
    <x v="8"/>
    <x v="2"/>
    <n v="6"/>
    <n v="2513.83"/>
    <x v="70"/>
  </r>
  <r>
    <x v="26"/>
    <x v="1"/>
    <x v="1"/>
    <n v="3"/>
    <n v="1710.88"/>
    <x v="71"/>
  </r>
  <r>
    <x v="66"/>
    <x v="7"/>
    <x v="2"/>
    <n v="1"/>
    <n v="3203.66"/>
    <x v="72"/>
  </r>
  <r>
    <x v="67"/>
    <x v="8"/>
    <x v="2"/>
    <n v="4"/>
    <n v="1276.71"/>
    <x v="73"/>
  </r>
  <r>
    <x v="68"/>
    <x v="5"/>
    <x v="0"/>
    <n v="9"/>
    <n v="471.73"/>
    <x v="74"/>
  </r>
  <r>
    <x v="28"/>
    <x v="0"/>
    <x v="0"/>
    <n v="3"/>
    <n v="731.51"/>
    <x v="75"/>
  </r>
  <r>
    <x v="69"/>
    <x v="5"/>
    <x v="0"/>
    <n v="9"/>
    <n v="727.42"/>
    <x v="76"/>
  </r>
  <r>
    <x v="70"/>
    <x v="5"/>
    <x v="0"/>
    <n v="7"/>
    <n v="844.32"/>
    <x v="77"/>
  </r>
  <r>
    <x v="71"/>
    <x v="9"/>
    <x v="1"/>
    <n v="4"/>
    <n v="780.25"/>
    <x v="78"/>
  </r>
  <r>
    <x v="72"/>
    <x v="5"/>
    <x v="0"/>
    <n v="3"/>
    <n v="3240.29"/>
    <x v="79"/>
  </r>
  <r>
    <x v="73"/>
    <x v="6"/>
    <x v="2"/>
    <n v="10"/>
    <n v="991.21"/>
    <x v="80"/>
  </r>
  <r>
    <x v="74"/>
    <x v="4"/>
    <x v="1"/>
    <n v="5"/>
    <n v="1793.77"/>
    <x v="81"/>
  </r>
  <r>
    <x v="75"/>
    <x v="7"/>
    <x v="2"/>
    <n v="5"/>
    <n v="4494.26"/>
    <x v="82"/>
  </r>
  <r>
    <x v="76"/>
    <x v="7"/>
    <x v="2"/>
    <n v="3"/>
    <n v="2422.41"/>
    <x v="83"/>
  </r>
  <r>
    <x v="77"/>
    <x v="8"/>
    <x v="2"/>
    <n v="9"/>
    <n v="3371.03"/>
    <x v="84"/>
  </r>
  <r>
    <x v="16"/>
    <x v="5"/>
    <x v="0"/>
    <n v="4"/>
    <n v="944.37"/>
    <x v="85"/>
  </r>
  <r>
    <x v="58"/>
    <x v="3"/>
    <x v="0"/>
    <n v="5"/>
    <n v="1042.22"/>
    <x v="86"/>
  </r>
  <r>
    <x v="78"/>
    <x v="4"/>
    <x v="1"/>
    <n v="4"/>
    <n v="300.26"/>
    <x v="87"/>
  </r>
  <r>
    <x v="79"/>
    <x v="1"/>
    <x v="1"/>
    <n v="5"/>
    <n v="927.78"/>
    <x v="88"/>
  </r>
  <r>
    <x v="80"/>
    <x v="0"/>
    <x v="0"/>
    <n v="7"/>
    <n v="1465.09"/>
    <x v="89"/>
  </r>
  <r>
    <x v="81"/>
    <x v="11"/>
    <x v="2"/>
    <n v="9"/>
    <n v="967.35"/>
    <x v="90"/>
  </r>
  <r>
    <x v="82"/>
    <x v="1"/>
    <x v="1"/>
    <n v="7"/>
    <n v="534.64"/>
    <x v="91"/>
  </r>
  <r>
    <x v="83"/>
    <x v="2"/>
    <x v="0"/>
    <n v="5"/>
    <n v="691.12"/>
    <x v="92"/>
  </r>
  <r>
    <x v="84"/>
    <x v="2"/>
    <x v="0"/>
    <n v="10"/>
    <n v="2357.8200000000002"/>
    <x v="93"/>
  </r>
  <r>
    <x v="85"/>
    <x v="2"/>
    <x v="0"/>
    <n v="10"/>
    <n v="1111.04"/>
    <x v="94"/>
  </r>
  <r>
    <x v="86"/>
    <x v="6"/>
    <x v="2"/>
    <n v="7"/>
    <n v="1884.92"/>
    <x v="95"/>
  </r>
  <r>
    <x v="87"/>
    <x v="3"/>
    <x v="0"/>
    <n v="10"/>
    <n v="2566.7399999999998"/>
    <x v="96"/>
  </r>
  <r>
    <x v="88"/>
    <x v="2"/>
    <x v="0"/>
    <n v="5"/>
    <n v="3482.93"/>
    <x v="97"/>
  </r>
  <r>
    <x v="89"/>
    <x v="5"/>
    <x v="0"/>
    <n v="3"/>
    <n v="292.63"/>
    <x v="98"/>
  </r>
  <r>
    <x v="90"/>
    <x v="0"/>
    <x v="0"/>
    <n v="7"/>
    <n v="4017.11"/>
    <x v="99"/>
  </r>
  <r>
    <x v="45"/>
    <x v="4"/>
    <x v="1"/>
    <n v="2"/>
    <n v="3176.71"/>
    <x v="100"/>
  </r>
  <r>
    <x v="91"/>
    <x v="4"/>
    <x v="1"/>
    <n v="9"/>
    <n v="500.62"/>
    <x v="101"/>
  </r>
  <r>
    <x v="92"/>
    <x v="5"/>
    <x v="0"/>
    <n v="10"/>
    <n v="4380.54"/>
    <x v="102"/>
  </r>
  <r>
    <x v="93"/>
    <x v="8"/>
    <x v="2"/>
    <n v="10"/>
    <n v="4612.2700000000004"/>
    <x v="103"/>
  </r>
  <r>
    <x v="94"/>
    <x v="10"/>
    <x v="1"/>
    <n v="1"/>
    <n v="399.28"/>
    <x v="104"/>
  </r>
  <r>
    <x v="3"/>
    <x v="3"/>
    <x v="0"/>
    <n v="6"/>
    <n v="1456.7"/>
    <x v="105"/>
  </r>
  <r>
    <x v="95"/>
    <x v="4"/>
    <x v="1"/>
    <n v="7"/>
    <n v="4050.39"/>
    <x v="106"/>
  </r>
  <r>
    <x v="96"/>
    <x v="4"/>
    <x v="1"/>
    <n v="8"/>
    <n v="3766.47"/>
    <x v="107"/>
  </r>
  <r>
    <x v="10"/>
    <x v="11"/>
    <x v="2"/>
    <n v="10"/>
    <n v="1004.15"/>
    <x v="108"/>
  </r>
  <r>
    <x v="97"/>
    <x v="0"/>
    <x v="0"/>
    <n v="9"/>
    <n v="1125.81"/>
    <x v="109"/>
  </r>
  <r>
    <x v="44"/>
    <x v="5"/>
    <x v="0"/>
    <n v="2"/>
    <n v="1915.31"/>
    <x v="110"/>
  </r>
  <r>
    <x v="98"/>
    <x v="11"/>
    <x v="2"/>
    <n v="10"/>
    <n v="2474.16"/>
    <x v="111"/>
  </r>
  <r>
    <x v="99"/>
    <x v="7"/>
    <x v="2"/>
    <n v="2"/>
    <n v="3129.45"/>
    <x v="112"/>
  </r>
  <r>
    <x v="100"/>
    <x v="5"/>
    <x v="0"/>
    <n v="5"/>
    <n v="1907.68"/>
    <x v="113"/>
  </r>
  <r>
    <x v="101"/>
    <x v="3"/>
    <x v="0"/>
    <n v="5"/>
    <n v="2366.42"/>
    <x v="114"/>
  </r>
  <r>
    <x v="102"/>
    <x v="6"/>
    <x v="2"/>
    <n v="6"/>
    <n v="3762.61"/>
    <x v="115"/>
  </r>
  <r>
    <x v="68"/>
    <x v="4"/>
    <x v="1"/>
    <n v="3"/>
    <n v="279.75"/>
    <x v="116"/>
  </r>
  <r>
    <x v="65"/>
    <x v="10"/>
    <x v="1"/>
    <n v="8"/>
    <n v="1336.94"/>
    <x v="117"/>
  </r>
  <r>
    <x v="103"/>
    <x v="8"/>
    <x v="2"/>
    <n v="1"/>
    <n v="3595.41"/>
    <x v="118"/>
  </r>
  <r>
    <x v="104"/>
    <x v="4"/>
    <x v="1"/>
    <n v="6"/>
    <n v="4486.51"/>
    <x v="119"/>
  </r>
  <r>
    <x v="105"/>
    <x v="7"/>
    <x v="2"/>
    <n v="4"/>
    <n v="2607.2199999999998"/>
    <x v="120"/>
  </r>
  <r>
    <x v="97"/>
    <x v="10"/>
    <x v="1"/>
    <n v="1"/>
    <n v="2707.36"/>
    <x v="121"/>
  </r>
  <r>
    <x v="42"/>
    <x v="9"/>
    <x v="1"/>
    <n v="7"/>
    <n v="625.14"/>
    <x v="122"/>
  </r>
  <r>
    <x v="106"/>
    <x v="0"/>
    <x v="0"/>
    <n v="9"/>
    <n v="2292.3200000000002"/>
    <x v="123"/>
  </r>
  <r>
    <x v="107"/>
    <x v="5"/>
    <x v="0"/>
    <n v="4"/>
    <n v="2709.82"/>
    <x v="124"/>
  </r>
  <r>
    <x v="108"/>
    <x v="1"/>
    <x v="1"/>
    <n v="4"/>
    <n v="1288.1099999999999"/>
    <x v="125"/>
  </r>
  <r>
    <x v="109"/>
    <x v="9"/>
    <x v="1"/>
    <n v="6"/>
    <n v="1419.29"/>
    <x v="126"/>
  </r>
  <r>
    <x v="110"/>
    <x v="3"/>
    <x v="0"/>
    <n v="3"/>
    <n v="1948.69"/>
    <x v="127"/>
  </r>
  <r>
    <x v="111"/>
    <x v="3"/>
    <x v="0"/>
    <n v="6"/>
    <n v="198.35"/>
    <x v="128"/>
  </r>
  <r>
    <x v="112"/>
    <x v="0"/>
    <x v="0"/>
    <n v="7"/>
    <n v="1678.19"/>
    <x v="129"/>
  </r>
  <r>
    <x v="36"/>
    <x v="11"/>
    <x v="2"/>
    <n v="10"/>
    <n v="1136.0999999999999"/>
    <x v="130"/>
  </r>
  <r>
    <x v="113"/>
    <x v="1"/>
    <x v="1"/>
    <n v="10"/>
    <n v="1704.74"/>
    <x v="131"/>
  </r>
  <r>
    <x v="114"/>
    <x v="0"/>
    <x v="0"/>
    <n v="3"/>
    <n v="686.83"/>
    <x v="132"/>
  </r>
  <r>
    <x v="22"/>
    <x v="9"/>
    <x v="1"/>
    <n v="7"/>
    <n v="4463.58"/>
    <x v="133"/>
  </r>
  <r>
    <x v="115"/>
    <x v="7"/>
    <x v="2"/>
    <n v="3"/>
    <n v="3008.6"/>
    <x v="134"/>
  </r>
  <r>
    <x v="23"/>
    <x v="6"/>
    <x v="2"/>
    <n v="2"/>
    <n v="3427.6"/>
    <x v="135"/>
  </r>
  <r>
    <x v="116"/>
    <x v="3"/>
    <x v="0"/>
    <n v="10"/>
    <n v="3966.94"/>
    <x v="136"/>
  </r>
  <r>
    <x v="117"/>
    <x v="7"/>
    <x v="2"/>
    <n v="4"/>
    <n v="2542.37"/>
    <x v="137"/>
  </r>
  <r>
    <x v="118"/>
    <x v="4"/>
    <x v="1"/>
    <n v="8"/>
    <n v="525.91"/>
    <x v="138"/>
  </r>
  <r>
    <x v="119"/>
    <x v="5"/>
    <x v="0"/>
    <n v="9"/>
    <n v="2731.82"/>
    <x v="139"/>
  </r>
  <r>
    <x v="120"/>
    <x v="9"/>
    <x v="1"/>
    <n v="7"/>
    <n v="2975.52"/>
    <x v="140"/>
  </r>
  <r>
    <x v="75"/>
    <x v="4"/>
    <x v="1"/>
    <n v="1"/>
    <n v="3752.65"/>
    <x v="141"/>
  </r>
  <r>
    <x v="121"/>
    <x v="6"/>
    <x v="2"/>
    <n v="3"/>
    <n v="2215.13"/>
    <x v="142"/>
  </r>
  <r>
    <x v="122"/>
    <x v="11"/>
    <x v="2"/>
    <n v="9"/>
    <n v="725.14"/>
    <x v="143"/>
  </r>
  <r>
    <x v="123"/>
    <x v="6"/>
    <x v="2"/>
    <n v="1"/>
    <n v="1490.5"/>
    <x v="144"/>
  </r>
  <r>
    <x v="124"/>
    <x v="6"/>
    <x v="2"/>
    <n v="9"/>
    <n v="1879.1"/>
    <x v="145"/>
  </r>
  <r>
    <x v="125"/>
    <x v="6"/>
    <x v="2"/>
    <n v="8"/>
    <n v="3264.99"/>
    <x v="146"/>
  </r>
  <r>
    <x v="126"/>
    <x v="2"/>
    <x v="0"/>
    <n v="1"/>
    <n v="2896.81"/>
    <x v="147"/>
  </r>
  <r>
    <x v="127"/>
    <x v="1"/>
    <x v="1"/>
    <n v="6"/>
    <n v="1844.87"/>
    <x v="148"/>
  </r>
  <r>
    <x v="128"/>
    <x v="10"/>
    <x v="1"/>
    <n v="5"/>
    <n v="4933.92"/>
    <x v="149"/>
  </r>
  <r>
    <x v="108"/>
    <x v="4"/>
    <x v="1"/>
    <n v="6"/>
    <n v="3068.3"/>
    <x v="150"/>
  </r>
  <r>
    <x v="129"/>
    <x v="10"/>
    <x v="1"/>
    <n v="10"/>
    <n v="1262.4100000000001"/>
    <x v="151"/>
  </r>
  <r>
    <x v="54"/>
    <x v="6"/>
    <x v="2"/>
    <n v="5"/>
    <n v="598.73"/>
    <x v="152"/>
  </r>
  <r>
    <x v="130"/>
    <x v="9"/>
    <x v="1"/>
    <n v="6"/>
    <n v="849.01"/>
    <x v="153"/>
  </r>
  <r>
    <x v="131"/>
    <x v="0"/>
    <x v="0"/>
    <n v="5"/>
    <n v="1305.19"/>
    <x v="154"/>
  </r>
  <r>
    <x v="132"/>
    <x v="3"/>
    <x v="0"/>
    <n v="5"/>
    <n v="887.34"/>
    <x v="155"/>
  </r>
  <r>
    <x v="133"/>
    <x v="10"/>
    <x v="1"/>
    <n v="4"/>
    <n v="1014.18"/>
    <x v="156"/>
  </r>
  <r>
    <x v="134"/>
    <x v="4"/>
    <x v="1"/>
    <n v="3"/>
    <n v="1496.97"/>
    <x v="157"/>
  </r>
  <r>
    <x v="135"/>
    <x v="5"/>
    <x v="0"/>
    <n v="3"/>
    <n v="949.53"/>
    <x v="158"/>
  </r>
  <r>
    <x v="136"/>
    <x v="2"/>
    <x v="0"/>
    <n v="4"/>
    <n v="4494.1499999999996"/>
    <x v="159"/>
  </r>
  <r>
    <x v="137"/>
    <x v="8"/>
    <x v="2"/>
    <n v="9"/>
    <n v="493.15"/>
    <x v="160"/>
  </r>
  <r>
    <x v="138"/>
    <x v="0"/>
    <x v="0"/>
    <n v="2"/>
    <n v="2670.11"/>
    <x v="161"/>
  </r>
  <r>
    <x v="139"/>
    <x v="7"/>
    <x v="2"/>
    <n v="9"/>
    <n v="2110.94"/>
    <x v="162"/>
  </r>
  <r>
    <x v="140"/>
    <x v="6"/>
    <x v="2"/>
    <n v="1"/>
    <n v="4913.66"/>
    <x v="163"/>
  </r>
  <r>
    <x v="141"/>
    <x v="6"/>
    <x v="2"/>
    <n v="1"/>
    <n v="648.99"/>
    <x v="164"/>
  </r>
  <r>
    <x v="16"/>
    <x v="7"/>
    <x v="2"/>
    <n v="5"/>
    <n v="2049.4899999999998"/>
    <x v="165"/>
  </r>
  <r>
    <x v="142"/>
    <x v="11"/>
    <x v="2"/>
    <n v="6"/>
    <n v="4850.41"/>
    <x v="166"/>
  </r>
  <r>
    <x v="38"/>
    <x v="1"/>
    <x v="1"/>
    <n v="6"/>
    <n v="4340.9799999999996"/>
    <x v="167"/>
  </r>
  <r>
    <x v="73"/>
    <x v="3"/>
    <x v="0"/>
    <n v="3"/>
    <n v="4103.6499999999996"/>
    <x v="168"/>
  </r>
  <r>
    <x v="143"/>
    <x v="6"/>
    <x v="2"/>
    <n v="7"/>
    <n v="1363.72"/>
    <x v="169"/>
  </r>
  <r>
    <x v="144"/>
    <x v="5"/>
    <x v="0"/>
    <n v="9"/>
    <n v="937.35"/>
    <x v="170"/>
  </r>
  <r>
    <x v="145"/>
    <x v="5"/>
    <x v="0"/>
    <n v="10"/>
    <n v="3376.35"/>
    <x v="171"/>
  </r>
  <r>
    <x v="72"/>
    <x v="7"/>
    <x v="2"/>
    <n v="8"/>
    <n v="4653.9399999999996"/>
    <x v="172"/>
  </r>
  <r>
    <x v="96"/>
    <x v="4"/>
    <x v="1"/>
    <n v="6"/>
    <n v="2828.14"/>
    <x v="173"/>
  </r>
  <r>
    <x v="18"/>
    <x v="6"/>
    <x v="2"/>
    <n v="8"/>
    <n v="2900.9"/>
    <x v="174"/>
  </r>
  <r>
    <x v="146"/>
    <x v="4"/>
    <x v="1"/>
    <n v="5"/>
    <n v="1471.9"/>
    <x v="175"/>
  </r>
  <r>
    <x v="147"/>
    <x v="2"/>
    <x v="0"/>
    <n v="8"/>
    <n v="3870.52"/>
    <x v="176"/>
  </r>
  <r>
    <x v="87"/>
    <x v="9"/>
    <x v="1"/>
    <n v="10"/>
    <n v="1016.51"/>
    <x v="177"/>
  </r>
  <r>
    <x v="148"/>
    <x v="9"/>
    <x v="1"/>
    <n v="4"/>
    <n v="1686.03"/>
    <x v="178"/>
  </r>
  <r>
    <x v="149"/>
    <x v="4"/>
    <x v="1"/>
    <n v="10"/>
    <n v="2184.64"/>
    <x v="179"/>
  </r>
  <r>
    <x v="150"/>
    <x v="0"/>
    <x v="0"/>
    <n v="8"/>
    <n v="2587.29"/>
    <x v="180"/>
  </r>
  <r>
    <x v="151"/>
    <x v="3"/>
    <x v="0"/>
    <n v="10"/>
    <n v="1287.81"/>
    <x v="181"/>
  </r>
  <r>
    <x v="152"/>
    <x v="4"/>
    <x v="1"/>
    <n v="2"/>
    <n v="662.7"/>
    <x v="182"/>
  </r>
  <r>
    <x v="153"/>
    <x v="1"/>
    <x v="1"/>
    <n v="5"/>
    <n v="3092.04"/>
    <x v="183"/>
  </r>
  <r>
    <x v="110"/>
    <x v="7"/>
    <x v="2"/>
    <n v="9"/>
    <n v="1514.29"/>
    <x v="184"/>
  </r>
  <r>
    <x v="64"/>
    <x v="9"/>
    <x v="1"/>
    <n v="4"/>
    <n v="2948.07"/>
    <x v="185"/>
  </r>
  <r>
    <x v="154"/>
    <x v="6"/>
    <x v="2"/>
    <n v="6"/>
    <n v="856.38"/>
    <x v="186"/>
  </r>
  <r>
    <x v="106"/>
    <x v="10"/>
    <x v="1"/>
    <n v="1"/>
    <n v="2457.59"/>
    <x v="187"/>
  </r>
  <r>
    <x v="155"/>
    <x v="7"/>
    <x v="2"/>
    <n v="9"/>
    <n v="2709.69"/>
    <x v="188"/>
  </r>
  <r>
    <x v="156"/>
    <x v="5"/>
    <x v="0"/>
    <n v="1"/>
    <n v="353.94"/>
    <x v="189"/>
  </r>
  <r>
    <x v="118"/>
    <x v="9"/>
    <x v="1"/>
    <n v="5"/>
    <n v="1749.36"/>
    <x v="190"/>
  </r>
  <r>
    <x v="157"/>
    <x v="1"/>
    <x v="1"/>
    <n v="4"/>
    <n v="758.63"/>
    <x v="191"/>
  </r>
  <r>
    <x v="128"/>
    <x v="4"/>
    <x v="1"/>
    <n v="3"/>
    <n v="410.54"/>
    <x v="192"/>
  </r>
  <r>
    <x v="158"/>
    <x v="9"/>
    <x v="1"/>
    <n v="6"/>
    <n v="4950.8100000000004"/>
    <x v="193"/>
  </r>
  <r>
    <x v="159"/>
    <x v="11"/>
    <x v="2"/>
    <n v="2"/>
    <n v="1679.53"/>
    <x v="194"/>
  </r>
  <r>
    <x v="160"/>
    <x v="10"/>
    <x v="1"/>
    <n v="3"/>
    <n v="4068.38"/>
    <x v="195"/>
  </r>
  <r>
    <x v="58"/>
    <x v="5"/>
    <x v="0"/>
    <n v="5"/>
    <n v="1347.74"/>
    <x v="196"/>
  </r>
  <r>
    <x v="161"/>
    <x v="5"/>
    <x v="0"/>
    <n v="9"/>
    <n v="3439.36"/>
    <x v="197"/>
  </r>
  <r>
    <x v="52"/>
    <x v="10"/>
    <x v="1"/>
    <n v="2"/>
    <n v="3825.12"/>
    <x v="198"/>
  </r>
  <r>
    <x v="136"/>
    <x v="5"/>
    <x v="0"/>
    <n v="10"/>
    <n v="3018.63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B67BA-848C-476D-883E-8344EF5C26D2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tegorias">
  <location ref="E10:F23" firstHeaderRow="1" firstDataRow="1" firstDataCol="1"/>
  <pivotFields count="9">
    <pivotField numFmtId="14" showAll="0">
      <items count="163">
        <item x="78"/>
        <item x="147"/>
        <item x="114"/>
        <item x="61"/>
        <item x="110"/>
        <item x="7"/>
        <item x="33"/>
        <item x="129"/>
        <item x="134"/>
        <item x="73"/>
        <item x="108"/>
        <item x="154"/>
        <item x="88"/>
        <item x="135"/>
        <item x="37"/>
        <item x="77"/>
        <item x="47"/>
        <item x="159"/>
        <item x="65"/>
        <item x="80"/>
        <item x="49"/>
        <item x="39"/>
        <item x="137"/>
        <item x="118"/>
        <item x="112"/>
        <item x="5"/>
        <item x="75"/>
        <item x="13"/>
        <item x="59"/>
        <item x="67"/>
        <item x="160"/>
        <item x="140"/>
        <item x="15"/>
        <item x="145"/>
        <item x="0"/>
        <item x="81"/>
        <item x="4"/>
        <item x="8"/>
        <item x="115"/>
        <item x="18"/>
        <item x="54"/>
        <item x="116"/>
        <item x="119"/>
        <item x="19"/>
        <item x="17"/>
        <item x="109"/>
        <item x="30"/>
        <item x="89"/>
        <item x="122"/>
        <item x="56"/>
        <item x="40"/>
        <item x="141"/>
        <item x="46"/>
        <item x="156"/>
        <item x="42"/>
        <item x="6"/>
        <item x="44"/>
        <item x="85"/>
        <item x="27"/>
        <item x="130"/>
        <item x="90"/>
        <item x="74"/>
        <item x="153"/>
        <item x="100"/>
        <item x="99"/>
        <item x="142"/>
        <item x="10"/>
        <item x="138"/>
        <item x="105"/>
        <item x="87"/>
        <item x="161"/>
        <item x="144"/>
        <item x="128"/>
        <item x="35"/>
        <item x="101"/>
        <item x="158"/>
        <item x="62"/>
        <item x="50"/>
        <item x="97"/>
        <item x="34"/>
        <item x="148"/>
        <item x="146"/>
        <item x="21"/>
        <item x="82"/>
        <item x="126"/>
        <item x="71"/>
        <item x="63"/>
        <item x="132"/>
        <item x="92"/>
        <item x="3"/>
        <item x="57"/>
        <item x="29"/>
        <item x="103"/>
        <item x="151"/>
        <item x="124"/>
        <item x="139"/>
        <item x="25"/>
        <item x="98"/>
        <item x="111"/>
        <item x="94"/>
        <item x="53"/>
        <item x="20"/>
        <item x="83"/>
        <item x="32"/>
        <item x="60"/>
        <item x="51"/>
        <item x="113"/>
        <item x="131"/>
        <item x="55"/>
        <item x="11"/>
        <item x="102"/>
        <item x="66"/>
        <item x="22"/>
        <item x="36"/>
        <item x="64"/>
        <item x="2"/>
        <item x="93"/>
        <item x="157"/>
        <item x="150"/>
        <item x="16"/>
        <item x="48"/>
        <item x="68"/>
        <item x="14"/>
        <item x="125"/>
        <item x="106"/>
        <item x="26"/>
        <item x="58"/>
        <item x="79"/>
        <item x="121"/>
        <item x="152"/>
        <item x="149"/>
        <item x="86"/>
        <item x="136"/>
        <item x="104"/>
        <item x="24"/>
        <item x="133"/>
        <item x="123"/>
        <item x="76"/>
        <item x="70"/>
        <item x="72"/>
        <item x="1"/>
        <item x="28"/>
        <item x="45"/>
        <item x="143"/>
        <item x="69"/>
        <item x="95"/>
        <item x="12"/>
        <item x="31"/>
        <item x="155"/>
        <item x="96"/>
        <item x="43"/>
        <item x="9"/>
        <item x="117"/>
        <item x="38"/>
        <item x="41"/>
        <item x="84"/>
        <item x="91"/>
        <item x="52"/>
        <item x="127"/>
        <item x="23"/>
        <item x="107"/>
        <item x="120"/>
        <item t="default"/>
      </items>
    </pivotField>
    <pivotField showAll="0">
      <items count="13">
        <item x="6"/>
        <item x="8"/>
        <item x="3"/>
        <item x="7"/>
        <item x="4"/>
        <item x="0"/>
        <item x="9"/>
        <item x="1"/>
        <item x="11"/>
        <item x="10"/>
        <item x="5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201">
        <item x="51"/>
        <item x="189"/>
        <item x="104"/>
        <item x="164"/>
        <item x="7"/>
        <item x="116"/>
        <item x="98"/>
        <item x="3"/>
        <item x="45"/>
        <item x="16"/>
        <item x="128"/>
        <item x="87"/>
        <item x="192"/>
        <item x="182"/>
        <item x="67"/>
        <item x="144"/>
        <item x="2"/>
        <item x="60"/>
        <item x="132"/>
        <item x="75"/>
        <item x="55"/>
        <item x="50"/>
        <item x="26"/>
        <item x="13"/>
        <item x="187"/>
        <item x="64"/>
        <item x="66"/>
        <item x="121"/>
        <item x="158"/>
        <item x="147"/>
        <item x="152"/>
        <item x="191"/>
        <item x="78"/>
        <item x="72"/>
        <item x="194"/>
        <item x="92"/>
        <item x="118"/>
        <item x="91"/>
        <item x="141"/>
        <item x="85"/>
        <item x="110"/>
        <item x="54"/>
        <item x="156"/>
        <item x="18"/>
        <item x="138"/>
        <item x="12"/>
        <item x="74"/>
        <item x="17"/>
        <item x="122"/>
        <item x="155"/>
        <item x="160"/>
        <item x="157"/>
        <item x="101"/>
        <item x="88"/>
        <item x="0"/>
        <item x="163"/>
        <item x="153"/>
        <item x="73"/>
        <item x="71"/>
        <item x="186"/>
        <item x="125"/>
        <item x="86"/>
        <item x="161"/>
        <item x="52"/>
        <item x="33"/>
        <item x="21"/>
        <item x="127"/>
        <item x="34"/>
        <item x="77"/>
        <item x="32"/>
        <item x="112"/>
        <item x="100"/>
        <item x="14"/>
        <item x="154"/>
        <item x="143"/>
        <item x="76"/>
        <item x="142"/>
        <item x="196"/>
        <item x="178"/>
        <item x="44"/>
        <item x="135"/>
        <item x="15"/>
        <item x="83"/>
        <item x="27"/>
        <item x="175"/>
        <item x="198"/>
        <item x="170"/>
        <item x="126"/>
        <item x="39"/>
        <item x="90"/>
        <item x="105"/>
        <item x="190"/>
        <item x="81"/>
        <item x="134"/>
        <item x="49"/>
        <item x="25"/>
        <item x="68"/>
        <item x="23"/>
        <item x="113"/>
        <item x="169"/>
        <item x="10"/>
        <item x="79"/>
        <item x="6"/>
        <item x="80"/>
        <item x="108"/>
        <item x="109"/>
        <item x="177"/>
        <item x="137"/>
        <item x="165"/>
        <item x="89"/>
        <item x="43"/>
        <item x="120"/>
        <item x="36"/>
        <item x="117"/>
        <item x="124"/>
        <item x="148"/>
        <item x="94"/>
        <item x="130"/>
        <item x="41"/>
        <item x="22"/>
        <item x="129"/>
        <item x="185"/>
        <item x="114"/>
        <item x="53"/>
        <item x="8"/>
        <item x="30"/>
        <item x="195"/>
        <item x="168"/>
        <item x="151"/>
        <item x="11"/>
        <item x="24"/>
        <item x="181"/>
        <item x="95"/>
        <item x="38"/>
        <item x="184"/>
        <item x="57"/>
        <item x="70"/>
        <item x="183"/>
        <item x="4"/>
        <item x="47"/>
        <item x="9"/>
        <item x="145"/>
        <item x="173"/>
        <item x="131"/>
        <item x="97"/>
        <item x="159"/>
        <item x="58"/>
        <item x="150"/>
        <item x="162"/>
        <item x="59"/>
        <item x="123"/>
        <item x="180"/>
        <item x="140"/>
        <item x="179"/>
        <item x="61"/>
        <item x="40"/>
        <item x="82"/>
        <item x="115"/>
        <item x="174"/>
        <item x="93"/>
        <item x="35"/>
        <item x="188"/>
        <item x="139"/>
        <item x="149"/>
        <item x="111"/>
        <item x="96"/>
        <item x="167"/>
        <item x="146"/>
        <item x="119"/>
        <item x="99"/>
        <item x="106"/>
        <item x="5"/>
        <item x="166"/>
        <item x="193"/>
        <item x="107"/>
        <item x="199"/>
        <item x="62"/>
        <item x="84"/>
        <item x="29"/>
        <item x="197"/>
        <item x="176"/>
        <item x="133"/>
        <item x="56"/>
        <item x="48"/>
        <item x="171"/>
        <item x="31"/>
        <item x="1"/>
        <item x="172"/>
        <item x="46"/>
        <item x="28"/>
        <item x="37"/>
        <item x="42"/>
        <item x="136"/>
        <item x="19"/>
        <item x="65"/>
        <item x="63"/>
        <item x="102"/>
        <item x="69"/>
        <item x="103"/>
        <item x="2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Faturamento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CE0E6-867E-404C-8D59-46C0DCE45AD9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tegorias">
  <location ref="I2:J15" firstHeaderRow="1" firstDataRow="1" firstDataCol="1"/>
  <pivotFields count="9">
    <pivotField numFmtId="14" showAll="0">
      <items count="163">
        <item x="78"/>
        <item x="147"/>
        <item x="114"/>
        <item x="61"/>
        <item x="110"/>
        <item x="7"/>
        <item x="33"/>
        <item x="129"/>
        <item x="134"/>
        <item x="73"/>
        <item x="108"/>
        <item x="154"/>
        <item x="88"/>
        <item x="135"/>
        <item x="37"/>
        <item x="77"/>
        <item x="47"/>
        <item x="159"/>
        <item x="65"/>
        <item x="80"/>
        <item x="49"/>
        <item x="39"/>
        <item x="137"/>
        <item x="118"/>
        <item x="112"/>
        <item x="5"/>
        <item x="75"/>
        <item x="13"/>
        <item x="59"/>
        <item x="67"/>
        <item x="160"/>
        <item x="140"/>
        <item x="15"/>
        <item x="145"/>
        <item x="0"/>
        <item x="81"/>
        <item x="4"/>
        <item x="8"/>
        <item x="115"/>
        <item x="18"/>
        <item x="54"/>
        <item x="116"/>
        <item x="119"/>
        <item x="19"/>
        <item x="17"/>
        <item x="109"/>
        <item x="30"/>
        <item x="89"/>
        <item x="122"/>
        <item x="56"/>
        <item x="40"/>
        <item x="141"/>
        <item x="46"/>
        <item x="156"/>
        <item x="42"/>
        <item x="6"/>
        <item x="44"/>
        <item x="85"/>
        <item x="27"/>
        <item x="130"/>
        <item x="90"/>
        <item x="74"/>
        <item x="153"/>
        <item x="100"/>
        <item x="99"/>
        <item x="142"/>
        <item x="10"/>
        <item x="138"/>
        <item x="105"/>
        <item x="87"/>
        <item x="161"/>
        <item x="144"/>
        <item x="128"/>
        <item x="35"/>
        <item x="101"/>
        <item x="158"/>
        <item x="62"/>
        <item x="50"/>
        <item x="97"/>
        <item x="34"/>
        <item x="148"/>
        <item x="146"/>
        <item x="21"/>
        <item x="82"/>
        <item x="126"/>
        <item x="71"/>
        <item x="63"/>
        <item x="132"/>
        <item x="92"/>
        <item x="3"/>
        <item x="57"/>
        <item x="29"/>
        <item x="103"/>
        <item x="151"/>
        <item x="124"/>
        <item x="139"/>
        <item x="25"/>
        <item x="98"/>
        <item x="111"/>
        <item x="94"/>
        <item x="53"/>
        <item x="20"/>
        <item x="83"/>
        <item x="32"/>
        <item x="60"/>
        <item x="51"/>
        <item x="113"/>
        <item x="131"/>
        <item x="55"/>
        <item x="11"/>
        <item x="102"/>
        <item x="66"/>
        <item x="22"/>
        <item x="36"/>
        <item x="64"/>
        <item x="2"/>
        <item x="93"/>
        <item x="157"/>
        <item x="150"/>
        <item x="16"/>
        <item x="48"/>
        <item x="68"/>
        <item x="14"/>
        <item x="125"/>
        <item x="106"/>
        <item x="26"/>
        <item x="58"/>
        <item x="79"/>
        <item x="121"/>
        <item x="152"/>
        <item x="149"/>
        <item x="86"/>
        <item x="136"/>
        <item x="104"/>
        <item x="24"/>
        <item x="133"/>
        <item x="123"/>
        <item x="76"/>
        <item x="70"/>
        <item x="72"/>
        <item x="1"/>
        <item x="28"/>
        <item x="45"/>
        <item x="143"/>
        <item x="69"/>
        <item x="95"/>
        <item x="12"/>
        <item x="31"/>
        <item x="155"/>
        <item x="96"/>
        <item x="43"/>
        <item x="9"/>
        <item x="117"/>
        <item x="38"/>
        <item x="41"/>
        <item x="84"/>
        <item x="91"/>
        <item x="52"/>
        <item x="127"/>
        <item x="23"/>
        <item x="107"/>
        <item x="120"/>
        <item t="default"/>
      </items>
    </pivotField>
    <pivotField axis="axisRow" showAll="0">
      <items count="13">
        <item x="6"/>
        <item x="8"/>
        <item x="3"/>
        <item x="7"/>
        <item x="4"/>
        <item x="0"/>
        <item x="9"/>
        <item x="1"/>
        <item x="11"/>
        <item x="10"/>
        <item x="5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201">
        <item x="51"/>
        <item x="189"/>
        <item x="104"/>
        <item x="164"/>
        <item x="7"/>
        <item x="116"/>
        <item x="98"/>
        <item x="3"/>
        <item x="45"/>
        <item x="16"/>
        <item x="128"/>
        <item x="87"/>
        <item x="192"/>
        <item x="182"/>
        <item x="67"/>
        <item x="144"/>
        <item x="2"/>
        <item x="60"/>
        <item x="132"/>
        <item x="75"/>
        <item x="55"/>
        <item x="50"/>
        <item x="26"/>
        <item x="13"/>
        <item x="187"/>
        <item x="64"/>
        <item x="66"/>
        <item x="121"/>
        <item x="158"/>
        <item x="147"/>
        <item x="152"/>
        <item x="191"/>
        <item x="78"/>
        <item x="72"/>
        <item x="194"/>
        <item x="92"/>
        <item x="118"/>
        <item x="91"/>
        <item x="141"/>
        <item x="85"/>
        <item x="110"/>
        <item x="54"/>
        <item x="156"/>
        <item x="18"/>
        <item x="138"/>
        <item x="12"/>
        <item x="74"/>
        <item x="17"/>
        <item x="122"/>
        <item x="155"/>
        <item x="160"/>
        <item x="157"/>
        <item x="101"/>
        <item x="88"/>
        <item x="0"/>
        <item x="163"/>
        <item x="153"/>
        <item x="73"/>
        <item x="71"/>
        <item x="186"/>
        <item x="125"/>
        <item x="86"/>
        <item x="161"/>
        <item x="52"/>
        <item x="33"/>
        <item x="21"/>
        <item x="127"/>
        <item x="34"/>
        <item x="77"/>
        <item x="32"/>
        <item x="112"/>
        <item x="100"/>
        <item x="14"/>
        <item x="154"/>
        <item x="143"/>
        <item x="76"/>
        <item x="142"/>
        <item x="196"/>
        <item x="178"/>
        <item x="44"/>
        <item x="135"/>
        <item x="15"/>
        <item x="83"/>
        <item x="27"/>
        <item x="175"/>
        <item x="198"/>
        <item x="170"/>
        <item x="126"/>
        <item x="39"/>
        <item x="90"/>
        <item x="105"/>
        <item x="190"/>
        <item x="81"/>
        <item x="134"/>
        <item x="49"/>
        <item x="25"/>
        <item x="68"/>
        <item x="23"/>
        <item x="113"/>
        <item x="169"/>
        <item x="10"/>
        <item x="79"/>
        <item x="6"/>
        <item x="80"/>
        <item x="108"/>
        <item x="109"/>
        <item x="177"/>
        <item x="137"/>
        <item x="165"/>
        <item x="89"/>
        <item x="43"/>
        <item x="120"/>
        <item x="36"/>
        <item x="117"/>
        <item x="124"/>
        <item x="148"/>
        <item x="94"/>
        <item x="130"/>
        <item x="41"/>
        <item x="22"/>
        <item x="129"/>
        <item x="185"/>
        <item x="114"/>
        <item x="53"/>
        <item x="8"/>
        <item x="30"/>
        <item x="195"/>
        <item x="168"/>
        <item x="151"/>
        <item x="11"/>
        <item x="24"/>
        <item x="181"/>
        <item x="95"/>
        <item x="38"/>
        <item x="184"/>
        <item x="57"/>
        <item x="70"/>
        <item x="183"/>
        <item x="4"/>
        <item x="47"/>
        <item x="9"/>
        <item x="145"/>
        <item x="173"/>
        <item x="131"/>
        <item x="97"/>
        <item x="159"/>
        <item x="58"/>
        <item x="150"/>
        <item x="162"/>
        <item x="59"/>
        <item x="123"/>
        <item x="180"/>
        <item x="140"/>
        <item x="179"/>
        <item x="61"/>
        <item x="40"/>
        <item x="82"/>
        <item x="115"/>
        <item x="174"/>
        <item x="93"/>
        <item x="35"/>
        <item x="188"/>
        <item x="139"/>
        <item x="149"/>
        <item x="111"/>
        <item x="96"/>
        <item x="167"/>
        <item x="146"/>
        <item x="119"/>
        <item x="99"/>
        <item x="106"/>
        <item x="5"/>
        <item x="166"/>
        <item x="193"/>
        <item x="107"/>
        <item x="199"/>
        <item x="62"/>
        <item x="84"/>
        <item x="29"/>
        <item x="197"/>
        <item x="176"/>
        <item x="133"/>
        <item x="56"/>
        <item x="48"/>
        <item x="171"/>
        <item x="31"/>
        <item x="1"/>
        <item x="172"/>
        <item x="46"/>
        <item x="28"/>
        <item x="37"/>
        <item x="42"/>
        <item x="136"/>
        <item x="19"/>
        <item x="65"/>
        <item x="63"/>
        <item x="102"/>
        <item x="69"/>
        <item x="103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quantidade" fld="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9F5C-D593-4458-8579-D3B228A13821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tegorias">
  <location ref="E2:F6" firstHeaderRow="1" firstDataRow="1" firstDataCol="1"/>
  <pivotFields count="9">
    <pivotField numFmtId="14" showAll="0">
      <items count="163">
        <item x="78"/>
        <item x="147"/>
        <item x="114"/>
        <item x="61"/>
        <item x="110"/>
        <item x="7"/>
        <item x="33"/>
        <item x="129"/>
        <item x="134"/>
        <item x="73"/>
        <item x="108"/>
        <item x="154"/>
        <item x="88"/>
        <item x="135"/>
        <item x="37"/>
        <item x="77"/>
        <item x="47"/>
        <item x="159"/>
        <item x="65"/>
        <item x="80"/>
        <item x="49"/>
        <item x="39"/>
        <item x="137"/>
        <item x="118"/>
        <item x="112"/>
        <item x="5"/>
        <item x="75"/>
        <item x="13"/>
        <item x="59"/>
        <item x="67"/>
        <item x="160"/>
        <item x="140"/>
        <item x="15"/>
        <item x="145"/>
        <item x="0"/>
        <item x="81"/>
        <item x="4"/>
        <item x="8"/>
        <item x="115"/>
        <item x="18"/>
        <item x="54"/>
        <item x="116"/>
        <item x="119"/>
        <item x="19"/>
        <item x="17"/>
        <item x="109"/>
        <item x="30"/>
        <item x="89"/>
        <item x="122"/>
        <item x="56"/>
        <item x="40"/>
        <item x="141"/>
        <item x="46"/>
        <item x="156"/>
        <item x="42"/>
        <item x="6"/>
        <item x="44"/>
        <item x="85"/>
        <item x="27"/>
        <item x="130"/>
        <item x="90"/>
        <item x="74"/>
        <item x="153"/>
        <item x="100"/>
        <item x="99"/>
        <item x="142"/>
        <item x="10"/>
        <item x="138"/>
        <item x="105"/>
        <item x="87"/>
        <item x="161"/>
        <item x="144"/>
        <item x="128"/>
        <item x="35"/>
        <item x="101"/>
        <item x="158"/>
        <item x="62"/>
        <item x="50"/>
        <item x="97"/>
        <item x="34"/>
        <item x="148"/>
        <item x="146"/>
        <item x="21"/>
        <item x="82"/>
        <item x="126"/>
        <item x="71"/>
        <item x="63"/>
        <item x="132"/>
        <item x="92"/>
        <item x="3"/>
        <item x="57"/>
        <item x="29"/>
        <item x="103"/>
        <item x="151"/>
        <item x="124"/>
        <item x="139"/>
        <item x="25"/>
        <item x="98"/>
        <item x="111"/>
        <item x="94"/>
        <item x="53"/>
        <item x="20"/>
        <item x="83"/>
        <item x="32"/>
        <item x="60"/>
        <item x="51"/>
        <item x="113"/>
        <item x="131"/>
        <item x="55"/>
        <item x="11"/>
        <item x="102"/>
        <item x="66"/>
        <item x="22"/>
        <item x="36"/>
        <item x="64"/>
        <item x="2"/>
        <item x="93"/>
        <item x="157"/>
        <item x="150"/>
        <item x="16"/>
        <item x="48"/>
        <item x="68"/>
        <item x="14"/>
        <item x="125"/>
        <item x="106"/>
        <item x="26"/>
        <item x="58"/>
        <item x="79"/>
        <item x="121"/>
        <item x="152"/>
        <item x="149"/>
        <item x="86"/>
        <item x="136"/>
        <item x="104"/>
        <item x="24"/>
        <item x="133"/>
        <item x="123"/>
        <item x="76"/>
        <item x="70"/>
        <item x="72"/>
        <item x="1"/>
        <item x="28"/>
        <item x="45"/>
        <item x="143"/>
        <item x="69"/>
        <item x="95"/>
        <item x="12"/>
        <item x="31"/>
        <item x="155"/>
        <item x="96"/>
        <item x="43"/>
        <item x="9"/>
        <item x="117"/>
        <item x="38"/>
        <item x="41"/>
        <item x="84"/>
        <item x="91"/>
        <item x="52"/>
        <item x="127"/>
        <item x="23"/>
        <item x="107"/>
        <item x="120"/>
        <item t="default"/>
      </items>
    </pivotField>
    <pivotField showAll="0">
      <items count="13">
        <item x="6"/>
        <item x="8"/>
        <item x="3"/>
        <item x="7"/>
        <item x="4"/>
        <item x="0"/>
        <item x="9"/>
        <item x="1"/>
        <item x="11"/>
        <item x="10"/>
        <item x="5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201">
        <item x="51"/>
        <item x="189"/>
        <item x="104"/>
        <item x="164"/>
        <item x="7"/>
        <item x="116"/>
        <item x="98"/>
        <item x="3"/>
        <item x="45"/>
        <item x="16"/>
        <item x="128"/>
        <item x="87"/>
        <item x="192"/>
        <item x="182"/>
        <item x="67"/>
        <item x="144"/>
        <item x="2"/>
        <item x="60"/>
        <item x="132"/>
        <item x="75"/>
        <item x="55"/>
        <item x="50"/>
        <item x="26"/>
        <item x="13"/>
        <item x="187"/>
        <item x="64"/>
        <item x="66"/>
        <item x="121"/>
        <item x="158"/>
        <item x="147"/>
        <item x="152"/>
        <item x="191"/>
        <item x="78"/>
        <item x="72"/>
        <item x="194"/>
        <item x="92"/>
        <item x="118"/>
        <item x="91"/>
        <item x="141"/>
        <item x="85"/>
        <item x="110"/>
        <item x="54"/>
        <item x="156"/>
        <item x="18"/>
        <item x="138"/>
        <item x="12"/>
        <item x="74"/>
        <item x="17"/>
        <item x="122"/>
        <item x="155"/>
        <item x="160"/>
        <item x="157"/>
        <item x="101"/>
        <item x="88"/>
        <item x="0"/>
        <item x="163"/>
        <item x="153"/>
        <item x="73"/>
        <item x="71"/>
        <item x="186"/>
        <item x="125"/>
        <item x="86"/>
        <item x="161"/>
        <item x="52"/>
        <item x="33"/>
        <item x="21"/>
        <item x="127"/>
        <item x="34"/>
        <item x="77"/>
        <item x="32"/>
        <item x="112"/>
        <item x="100"/>
        <item x="14"/>
        <item x="154"/>
        <item x="143"/>
        <item x="76"/>
        <item x="142"/>
        <item x="196"/>
        <item x="178"/>
        <item x="44"/>
        <item x="135"/>
        <item x="15"/>
        <item x="83"/>
        <item x="27"/>
        <item x="175"/>
        <item x="198"/>
        <item x="170"/>
        <item x="126"/>
        <item x="39"/>
        <item x="90"/>
        <item x="105"/>
        <item x="190"/>
        <item x="81"/>
        <item x="134"/>
        <item x="49"/>
        <item x="25"/>
        <item x="68"/>
        <item x="23"/>
        <item x="113"/>
        <item x="169"/>
        <item x="10"/>
        <item x="79"/>
        <item x="6"/>
        <item x="80"/>
        <item x="108"/>
        <item x="109"/>
        <item x="177"/>
        <item x="137"/>
        <item x="165"/>
        <item x="89"/>
        <item x="43"/>
        <item x="120"/>
        <item x="36"/>
        <item x="117"/>
        <item x="124"/>
        <item x="148"/>
        <item x="94"/>
        <item x="130"/>
        <item x="41"/>
        <item x="22"/>
        <item x="129"/>
        <item x="185"/>
        <item x="114"/>
        <item x="53"/>
        <item x="8"/>
        <item x="30"/>
        <item x="195"/>
        <item x="168"/>
        <item x="151"/>
        <item x="11"/>
        <item x="24"/>
        <item x="181"/>
        <item x="95"/>
        <item x="38"/>
        <item x="184"/>
        <item x="57"/>
        <item x="70"/>
        <item x="183"/>
        <item x="4"/>
        <item x="47"/>
        <item x="9"/>
        <item x="145"/>
        <item x="173"/>
        <item x="131"/>
        <item x="97"/>
        <item x="159"/>
        <item x="58"/>
        <item x="150"/>
        <item x="162"/>
        <item x="59"/>
        <item x="123"/>
        <item x="180"/>
        <item x="140"/>
        <item x="179"/>
        <item x="61"/>
        <item x="40"/>
        <item x="82"/>
        <item x="115"/>
        <item x="174"/>
        <item x="93"/>
        <item x="35"/>
        <item x="188"/>
        <item x="139"/>
        <item x="149"/>
        <item x="111"/>
        <item x="96"/>
        <item x="167"/>
        <item x="146"/>
        <item x="119"/>
        <item x="99"/>
        <item x="106"/>
        <item x="5"/>
        <item x="166"/>
        <item x="193"/>
        <item x="107"/>
        <item x="199"/>
        <item x="62"/>
        <item x="84"/>
        <item x="29"/>
        <item x="197"/>
        <item x="176"/>
        <item x="133"/>
        <item x="56"/>
        <item x="48"/>
        <item x="171"/>
        <item x="31"/>
        <item x="1"/>
        <item x="172"/>
        <item x="46"/>
        <item x="28"/>
        <item x="37"/>
        <item x="42"/>
        <item x="136"/>
        <item x="19"/>
        <item x="65"/>
        <item x="63"/>
        <item x="102"/>
        <item x="69"/>
        <item x="103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Faturamento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B311F-A192-4E15-B3D5-D74BE24C0C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rodutos">
  <location ref="A2:B15" firstHeaderRow="1" firstDataRow="1" firstDataCol="1"/>
  <pivotFields count="9">
    <pivotField numFmtId="14" showAll="0">
      <items count="163">
        <item x="78"/>
        <item x="147"/>
        <item x="114"/>
        <item x="61"/>
        <item x="110"/>
        <item x="7"/>
        <item x="33"/>
        <item x="129"/>
        <item x="134"/>
        <item x="73"/>
        <item x="108"/>
        <item x="154"/>
        <item x="88"/>
        <item x="135"/>
        <item x="37"/>
        <item x="77"/>
        <item x="47"/>
        <item x="159"/>
        <item x="65"/>
        <item x="80"/>
        <item x="49"/>
        <item x="39"/>
        <item x="137"/>
        <item x="118"/>
        <item x="112"/>
        <item x="5"/>
        <item x="75"/>
        <item x="13"/>
        <item x="59"/>
        <item x="67"/>
        <item x="160"/>
        <item x="140"/>
        <item x="15"/>
        <item x="145"/>
        <item x="0"/>
        <item x="81"/>
        <item x="4"/>
        <item x="8"/>
        <item x="115"/>
        <item x="18"/>
        <item x="54"/>
        <item x="116"/>
        <item x="119"/>
        <item x="19"/>
        <item x="17"/>
        <item x="109"/>
        <item x="30"/>
        <item x="89"/>
        <item x="122"/>
        <item x="56"/>
        <item x="40"/>
        <item x="141"/>
        <item x="46"/>
        <item x="156"/>
        <item x="42"/>
        <item x="6"/>
        <item x="44"/>
        <item x="85"/>
        <item x="27"/>
        <item x="130"/>
        <item x="90"/>
        <item x="74"/>
        <item x="153"/>
        <item x="100"/>
        <item x="99"/>
        <item x="142"/>
        <item x="10"/>
        <item x="138"/>
        <item x="105"/>
        <item x="87"/>
        <item x="161"/>
        <item x="144"/>
        <item x="128"/>
        <item x="35"/>
        <item x="101"/>
        <item x="158"/>
        <item x="62"/>
        <item x="50"/>
        <item x="97"/>
        <item x="34"/>
        <item x="148"/>
        <item x="146"/>
        <item x="21"/>
        <item x="82"/>
        <item x="126"/>
        <item x="71"/>
        <item x="63"/>
        <item x="132"/>
        <item x="92"/>
        <item x="3"/>
        <item x="57"/>
        <item x="29"/>
        <item x="103"/>
        <item x="151"/>
        <item x="124"/>
        <item x="139"/>
        <item x="25"/>
        <item x="98"/>
        <item x="111"/>
        <item x="94"/>
        <item x="53"/>
        <item x="20"/>
        <item x="83"/>
        <item x="32"/>
        <item x="60"/>
        <item x="51"/>
        <item x="113"/>
        <item x="131"/>
        <item x="55"/>
        <item x="11"/>
        <item x="102"/>
        <item x="66"/>
        <item x="22"/>
        <item x="36"/>
        <item x="64"/>
        <item x="2"/>
        <item x="93"/>
        <item x="157"/>
        <item x="150"/>
        <item x="16"/>
        <item x="48"/>
        <item x="68"/>
        <item x="14"/>
        <item x="125"/>
        <item x="106"/>
        <item x="26"/>
        <item x="58"/>
        <item x="79"/>
        <item x="121"/>
        <item x="152"/>
        <item x="149"/>
        <item x="86"/>
        <item x="136"/>
        <item x="104"/>
        <item x="24"/>
        <item x="133"/>
        <item x="123"/>
        <item x="76"/>
        <item x="70"/>
        <item x="72"/>
        <item x="1"/>
        <item x="28"/>
        <item x="45"/>
        <item x="143"/>
        <item x="69"/>
        <item x="95"/>
        <item x="12"/>
        <item x="31"/>
        <item x="155"/>
        <item x="96"/>
        <item x="43"/>
        <item x="9"/>
        <item x="117"/>
        <item x="38"/>
        <item x="41"/>
        <item x="84"/>
        <item x="91"/>
        <item x="52"/>
        <item x="127"/>
        <item x="23"/>
        <item x="107"/>
        <item x="120"/>
        <item t="default"/>
      </items>
    </pivotField>
    <pivotField axis="axisRow" showAll="0">
      <items count="13">
        <item x="6"/>
        <item x="8"/>
        <item x="3"/>
        <item x="7"/>
        <item x="4"/>
        <item x="0"/>
        <item x="9"/>
        <item x="1"/>
        <item x="11"/>
        <item x="10"/>
        <item x="5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201">
        <item x="51"/>
        <item x="189"/>
        <item x="104"/>
        <item x="164"/>
        <item x="7"/>
        <item x="116"/>
        <item x="98"/>
        <item x="3"/>
        <item x="45"/>
        <item x="16"/>
        <item x="128"/>
        <item x="87"/>
        <item x="192"/>
        <item x="182"/>
        <item x="67"/>
        <item x="144"/>
        <item x="2"/>
        <item x="60"/>
        <item x="132"/>
        <item x="75"/>
        <item x="55"/>
        <item x="50"/>
        <item x="26"/>
        <item x="13"/>
        <item x="187"/>
        <item x="64"/>
        <item x="66"/>
        <item x="121"/>
        <item x="158"/>
        <item x="147"/>
        <item x="152"/>
        <item x="191"/>
        <item x="78"/>
        <item x="72"/>
        <item x="194"/>
        <item x="92"/>
        <item x="118"/>
        <item x="91"/>
        <item x="141"/>
        <item x="85"/>
        <item x="110"/>
        <item x="54"/>
        <item x="156"/>
        <item x="18"/>
        <item x="138"/>
        <item x="12"/>
        <item x="74"/>
        <item x="17"/>
        <item x="122"/>
        <item x="155"/>
        <item x="160"/>
        <item x="157"/>
        <item x="101"/>
        <item x="88"/>
        <item x="0"/>
        <item x="163"/>
        <item x="153"/>
        <item x="73"/>
        <item x="71"/>
        <item x="186"/>
        <item x="125"/>
        <item x="86"/>
        <item x="161"/>
        <item x="52"/>
        <item x="33"/>
        <item x="21"/>
        <item x="127"/>
        <item x="34"/>
        <item x="77"/>
        <item x="32"/>
        <item x="112"/>
        <item x="100"/>
        <item x="14"/>
        <item x="154"/>
        <item x="143"/>
        <item x="76"/>
        <item x="142"/>
        <item x="196"/>
        <item x="178"/>
        <item x="44"/>
        <item x="135"/>
        <item x="15"/>
        <item x="83"/>
        <item x="27"/>
        <item x="175"/>
        <item x="198"/>
        <item x="170"/>
        <item x="126"/>
        <item x="39"/>
        <item x="90"/>
        <item x="105"/>
        <item x="190"/>
        <item x="81"/>
        <item x="134"/>
        <item x="49"/>
        <item x="25"/>
        <item x="68"/>
        <item x="23"/>
        <item x="113"/>
        <item x="169"/>
        <item x="10"/>
        <item x="79"/>
        <item x="6"/>
        <item x="80"/>
        <item x="108"/>
        <item x="109"/>
        <item x="177"/>
        <item x="137"/>
        <item x="165"/>
        <item x="89"/>
        <item x="43"/>
        <item x="120"/>
        <item x="36"/>
        <item x="117"/>
        <item x="124"/>
        <item x="148"/>
        <item x="94"/>
        <item x="130"/>
        <item x="41"/>
        <item x="22"/>
        <item x="129"/>
        <item x="185"/>
        <item x="114"/>
        <item x="53"/>
        <item x="8"/>
        <item x="30"/>
        <item x="195"/>
        <item x="168"/>
        <item x="151"/>
        <item x="11"/>
        <item x="24"/>
        <item x="181"/>
        <item x="95"/>
        <item x="38"/>
        <item x="184"/>
        <item x="57"/>
        <item x="70"/>
        <item x="183"/>
        <item x="4"/>
        <item x="47"/>
        <item x="9"/>
        <item x="145"/>
        <item x="173"/>
        <item x="131"/>
        <item x="97"/>
        <item x="159"/>
        <item x="58"/>
        <item x="150"/>
        <item x="162"/>
        <item x="59"/>
        <item x="123"/>
        <item x="180"/>
        <item x="140"/>
        <item x="179"/>
        <item x="61"/>
        <item x="40"/>
        <item x="82"/>
        <item x="115"/>
        <item x="174"/>
        <item x="93"/>
        <item x="35"/>
        <item x="188"/>
        <item x="139"/>
        <item x="149"/>
        <item x="111"/>
        <item x="96"/>
        <item x="167"/>
        <item x="146"/>
        <item x="119"/>
        <item x="99"/>
        <item x="106"/>
        <item x="5"/>
        <item x="166"/>
        <item x="193"/>
        <item x="107"/>
        <item x="199"/>
        <item x="62"/>
        <item x="84"/>
        <item x="29"/>
        <item x="197"/>
        <item x="176"/>
        <item x="133"/>
        <item x="56"/>
        <item x="48"/>
        <item x="171"/>
        <item x="31"/>
        <item x="1"/>
        <item x="172"/>
        <item x="46"/>
        <item x="28"/>
        <item x="37"/>
        <item x="42"/>
        <item x="136"/>
        <item x="19"/>
        <item x="65"/>
        <item x="63"/>
        <item x="102"/>
        <item x="69"/>
        <item x="103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Faturamento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3D6A02A8-5C8F-4891-A144-C07B9C7BF3F9}" sourceName="data">
  <pivotTables>
    <pivotTable tabId="2" name="Tabela dinâmica6"/>
  </pivotTables>
  <data>
    <tabular pivotCacheId="1645146225">
      <items count="162">
        <i x="78" s="1"/>
        <i x="147" s="1"/>
        <i x="114" s="1"/>
        <i x="61" s="1"/>
        <i x="110" s="1"/>
        <i x="7" s="1"/>
        <i x="33" s="1"/>
        <i x="129" s="1"/>
        <i x="134" s="1"/>
        <i x="73" s="1"/>
        <i x="108" s="1"/>
        <i x="154" s="1"/>
        <i x="88" s="1"/>
        <i x="135" s="1"/>
        <i x="37" s="1"/>
        <i x="77" s="1"/>
        <i x="47" s="1"/>
        <i x="159" s="1"/>
        <i x="65" s="1"/>
        <i x="80" s="1"/>
        <i x="49" s="1"/>
        <i x="39" s="1"/>
        <i x="137" s="1"/>
        <i x="118" s="1"/>
        <i x="112" s="1"/>
        <i x="5" s="1"/>
        <i x="75" s="1"/>
        <i x="13" s="1"/>
        <i x="59" s="1"/>
        <i x="67" s="1"/>
        <i x="160" s="1"/>
        <i x="140" s="1"/>
        <i x="15" s="1"/>
        <i x="145" s="1"/>
        <i x="0" s="1"/>
        <i x="81" s="1"/>
        <i x="4" s="1"/>
        <i x="8" s="1"/>
        <i x="115" s="1"/>
        <i x="18" s="1"/>
        <i x="54" s="1"/>
        <i x="116" s="1"/>
        <i x="119" s="1"/>
        <i x="19" s="1"/>
        <i x="17" s="1"/>
        <i x="109" s="1"/>
        <i x="30" s="1"/>
        <i x="89" s="1"/>
        <i x="122" s="1"/>
        <i x="56" s="1"/>
        <i x="40" s="1"/>
        <i x="141" s="1"/>
        <i x="46" s="1"/>
        <i x="156" s="1"/>
        <i x="42" s="1"/>
        <i x="6" s="1"/>
        <i x="44" s="1"/>
        <i x="85" s="1"/>
        <i x="27" s="1"/>
        <i x="130" s="1"/>
        <i x="90" s="1"/>
        <i x="74" s="1"/>
        <i x="153" s="1"/>
        <i x="100" s="1"/>
        <i x="99" s="1"/>
        <i x="142" s="1"/>
        <i x="10" s="1"/>
        <i x="138" s="1"/>
        <i x="105" s="1"/>
        <i x="87" s="1"/>
        <i x="161" s="1"/>
        <i x="144" s="1"/>
        <i x="128" s="1"/>
        <i x="35" s="1"/>
        <i x="101" s="1"/>
        <i x="158" s="1"/>
        <i x="62" s="1"/>
        <i x="50" s="1"/>
        <i x="97" s="1"/>
        <i x="34" s="1"/>
        <i x="148" s="1"/>
        <i x="146" s="1"/>
        <i x="21" s="1"/>
        <i x="82" s="1"/>
        <i x="126" s="1"/>
        <i x="71" s="1"/>
        <i x="63" s="1"/>
        <i x="132" s="1"/>
        <i x="92" s="1"/>
        <i x="3" s="1"/>
        <i x="57" s="1"/>
        <i x="29" s="1"/>
        <i x="103" s="1"/>
        <i x="151" s="1"/>
        <i x="124" s="1"/>
        <i x="139" s="1"/>
        <i x="25" s="1"/>
        <i x="98" s="1"/>
        <i x="111" s="1"/>
        <i x="94" s="1"/>
        <i x="53" s="1"/>
        <i x="20" s="1"/>
        <i x="83" s="1"/>
        <i x="32" s="1"/>
        <i x="60" s="1"/>
        <i x="51" s="1"/>
        <i x="113" s="1"/>
        <i x="131" s="1"/>
        <i x="55" s="1"/>
        <i x="11" s="1"/>
        <i x="102" s="1"/>
        <i x="66" s="1"/>
        <i x="22" s="1"/>
        <i x="36" s="1"/>
        <i x="64" s="1"/>
        <i x="2" s="1"/>
        <i x="93" s="1"/>
        <i x="157" s="1"/>
        <i x="150" s="1"/>
        <i x="16" s="1"/>
        <i x="48" s="1"/>
        <i x="68" s="1"/>
        <i x="14" s="1"/>
        <i x="125" s="1"/>
        <i x="106" s="1"/>
        <i x="26" s="1"/>
        <i x="58" s="1"/>
        <i x="79" s="1"/>
        <i x="121" s="1"/>
        <i x="152" s="1"/>
        <i x="149" s="1"/>
        <i x="86" s="1"/>
        <i x="136" s="1"/>
        <i x="104" s="1"/>
        <i x="24" s="1"/>
        <i x="133" s="1"/>
        <i x="123" s="1"/>
        <i x="76" s="1"/>
        <i x="70" s="1"/>
        <i x="72" s="1"/>
        <i x="1" s="1"/>
        <i x="28" s="1"/>
        <i x="45" s="1"/>
        <i x="143" s="1"/>
        <i x="69" s="1"/>
        <i x="95" s="1"/>
        <i x="12" s="1"/>
        <i x="31" s="1"/>
        <i x="155" s="1"/>
        <i x="96" s="1"/>
        <i x="43" s="1"/>
        <i x="9" s="1"/>
        <i x="117" s="1"/>
        <i x="38" s="1"/>
        <i x="41" s="1"/>
        <i x="84" s="1"/>
        <i x="91" s="1"/>
        <i x="52" s="1"/>
        <i x="127" s="1"/>
        <i x="23" s="1"/>
        <i x="107" s="1"/>
        <i x="12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DA916974-EDE4-4364-88EA-1EE81E57AE80}" sourceName="produto">
  <pivotTables>
    <pivotTable tabId="2" name="Tabela dinâmica6"/>
  </pivotTables>
  <data>
    <tabular pivotCacheId="1645146225">
      <items count="12">
        <i x="6" s="1"/>
        <i x="8" s="1"/>
        <i x="3" s="1"/>
        <i x="7" s="1"/>
        <i x="4" s="1"/>
        <i x="0" s="1"/>
        <i x="9" s="1"/>
        <i x="1" s="1"/>
        <i x="11" s="1"/>
        <i x="10" s="1"/>
        <i x="5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A97D2492-66E8-40B7-9422-82ED87603F32}" sourceName="categoria">
  <pivotTables>
    <pivotTable tabId="2" name="Tabela dinâmica6"/>
  </pivotTables>
  <data>
    <tabular pivotCacheId="164514622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7F58F98F-CE76-4B4E-BAEE-385762FE6B43}" cache="SegmentaçãodeDados_data" caption="data" rowHeight="241300"/>
  <slicer name="produto" xr10:uid="{7AC6570C-75B0-4F60-BFBA-82533F3C6AF3}" cache="SegmentaçãodeDados_produto" caption="produto" rowHeight="241300"/>
  <slicer name="categoria" xr10:uid="{25114B55-13D3-48D5-A1FC-D867CC6ACDE0}" cache="SegmentaçãodeDados_categoria" caption="categoria" rowHeight="241300"/>
</slicers>
</file>

<file path=xl/theme/theme1.xml><?xml version="1.0" encoding="utf-8"?>
<a:theme xmlns:a="http://schemas.openxmlformats.org/drawingml/2006/main" name="Office Them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/>
  </sheetViews>
  <sheetFormatPr defaultRowHeight="15" x14ac:dyDescent="0.25"/>
  <cols>
    <col min="1" max="1" width="10.7109375" style="3" bestFit="1" customWidth="1"/>
    <col min="2" max="2" width="17.42578125" bestFit="1" customWidth="1"/>
    <col min="3" max="3" width="10.85546875" bestFit="1" customWidth="1"/>
    <col min="4" max="4" width="11.140625" bestFit="1" customWidth="1"/>
    <col min="5" max="5" width="15.5703125" customWidth="1"/>
    <col min="6" max="6" width="12.4257812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20</v>
      </c>
    </row>
    <row r="2" spans="1:6" x14ac:dyDescent="0.25">
      <c r="A2" s="3">
        <v>45394</v>
      </c>
      <c r="B2" t="s">
        <v>5</v>
      </c>
      <c r="C2" t="s">
        <v>6</v>
      </c>
      <c r="D2">
        <v>1</v>
      </c>
      <c r="E2">
        <v>4670.37</v>
      </c>
      <c r="F2">
        <f>PRODUCT(D2,E2)</f>
        <v>4670.37</v>
      </c>
    </row>
    <row r="3" spans="1:6" x14ac:dyDescent="0.25">
      <c r="A3" s="3">
        <v>45727</v>
      </c>
      <c r="B3" t="s">
        <v>7</v>
      </c>
      <c r="C3" t="s">
        <v>8</v>
      </c>
      <c r="D3">
        <v>8</v>
      </c>
      <c r="E3">
        <v>4343.71</v>
      </c>
      <c r="F3">
        <f t="shared" ref="F3:F66" si="0">PRODUCT(D3,E3)</f>
        <v>34749.68</v>
      </c>
    </row>
    <row r="4" spans="1:6" x14ac:dyDescent="0.25">
      <c r="A4" s="3">
        <v>45640</v>
      </c>
      <c r="B4" t="s">
        <v>9</v>
      </c>
      <c r="C4" t="s">
        <v>6</v>
      </c>
      <c r="D4">
        <v>5</v>
      </c>
      <c r="E4">
        <v>321.57</v>
      </c>
      <c r="F4">
        <f t="shared" si="0"/>
        <v>1607.85</v>
      </c>
    </row>
    <row r="5" spans="1:6" x14ac:dyDescent="0.25">
      <c r="A5" s="3">
        <v>45562</v>
      </c>
      <c r="B5" t="s">
        <v>10</v>
      </c>
      <c r="C5" t="s">
        <v>6</v>
      </c>
      <c r="D5">
        <v>4</v>
      </c>
      <c r="E5">
        <v>229.2</v>
      </c>
      <c r="F5">
        <f t="shared" si="0"/>
        <v>916.8</v>
      </c>
    </row>
    <row r="6" spans="1:6" x14ac:dyDescent="0.25">
      <c r="A6" s="3">
        <v>45398</v>
      </c>
      <c r="B6" t="s">
        <v>7</v>
      </c>
      <c r="C6" t="s">
        <v>8</v>
      </c>
      <c r="D6">
        <v>8</v>
      </c>
      <c r="E6">
        <v>1944.67</v>
      </c>
      <c r="F6">
        <f t="shared" si="0"/>
        <v>15557.36</v>
      </c>
    </row>
    <row r="7" spans="1:6" x14ac:dyDescent="0.25">
      <c r="A7" s="3">
        <v>45363</v>
      </c>
      <c r="B7" t="s">
        <v>11</v>
      </c>
      <c r="C7" t="s">
        <v>8</v>
      </c>
      <c r="D7">
        <v>7</v>
      </c>
      <c r="E7">
        <v>4071.71</v>
      </c>
      <c r="F7">
        <f t="shared" si="0"/>
        <v>28501.97</v>
      </c>
    </row>
    <row r="8" spans="1:6" x14ac:dyDescent="0.25">
      <c r="A8" s="3">
        <v>45480</v>
      </c>
      <c r="B8" t="s">
        <v>10</v>
      </c>
      <c r="C8" t="s">
        <v>6</v>
      </c>
      <c r="D8">
        <v>2</v>
      </c>
      <c r="E8">
        <v>4937.6499999999996</v>
      </c>
      <c r="F8">
        <f t="shared" si="0"/>
        <v>9875.2999999999993</v>
      </c>
    </row>
    <row r="9" spans="1:6" x14ac:dyDescent="0.25">
      <c r="A9" s="3">
        <v>45312</v>
      </c>
      <c r="B9" t="s">
        <v>9</v>
      </c>
      <c r="C9" t="s">
        <v>6</v>
      </c>
      <c r="D9">
        <v>1</v>
      </c>
      <c r="E9">
        <v>837.04</v>
      </c>
      <c r="F9">
        <f t="shared" si="0"/>
        <v>837.04</v>
      </c>
    </row>
    <row r="10" spans="1:6" x14ac:dyDescent="0.25">
      <c r="A10" s="3">
        <v>45394</v>
      </c>
      <c r="B10" t="s">
        <v>12</v>
      </c>
      <c r="C10" t="s">
        <v>6</v>
      </c>
      <c r="D10">
        <v>4</v>
      </c>
      <c r="E10">
        <v>3011.24</v>
      </c>
      <c r="F10">
        <f t="shared" si="0"/>
        <v>12044.96</v>
      </c>
    </row>
    <row r="11" spans="1:6" x14ac:dyDescent="0.25">
      <c r="A11" s="3">
        <v>45413</v>
      </c>
      <c r="B11" t="s">
        <v>13</v>
      </c>
      <c r="C11" t="s">
        <v>14</v>
      </c>
      <c r="D11">
        <v>8</v>
      </c>
      <c r="E11">
        <v>1966.37</v>
      </c>
      <c r="F11">
        <f t="shared" si="0"/>
        <v>15730.96</v>
      </c>
    </row>
    <row r="12" spans="1:6" x14ac:dyDescent="0.25">
      <c r="A12" s="3">
        <v>45758</v>
      </c>
      <c r="B12" t="s">
        <v>15</v>
      </c>
      <c r="C12" t="s">
        <v>14</v>
      </c>
      <c r="D12">
        <v>2</v>
      </c>
      <c r="E12">
        <v>4852.58</v>
      </c>
      <c r="F12">
        <f t="shared" si="0"/>
        <v>9705.16</v>
      </c>
    </row>
    <row r="13" spans="1:6" x14ac:dyDescent="0.25">
      <c r="A13" s="3">
        <v>45506</v>
      </c>
      <c r="B13" t="s">
        <v>16</v>
      </c>
      <c r="C13" t="s">
        <v>14</v>
      </c>
      <c r="D13">
        <v>3</v>
      </c>
      <c r="E13">
        <v>4226.38</v>
      </c>
      <c r="F13">
        <f t="shared" si="0"/>
        <v>12679.14</v>
      </c>
    </row>
    <row r="14" spans="1:6" x14ac:dyDescent="0.25">
      <c r="A14" s="3">
        <v>45622</v>
      </c>
      <c r="B14" t="s">
        <v>17</v>
      </c>
      <c r="C14" t="s">
        <v>8</v>
      </c>
      <c r="D14">
        <v>1</v>
      </c>
      <c r="E14">
        <v>4207.8100000000004</v>
      </c>
      <c r="F14">
        <f t="shared" si="0"/>
        <v>4207.8100000000004</v>
      </c>
    </row>
    <row r="15" spans="1:6" x14ac:dyDescent="0.25">
      <c r="A15" s="3">
        <v>45750</v>
      </c>
      <c r="B15" t="s">
        <v>15</v>
      </c>
      <c r="C15" t="s">
        <v>14</v>
      </c>
      <c r="D15">
        <v>1</v>
      </c>
      <c r="E15">
        <v>2396.6</v>
      </c>
      <c r="F15">
        <f t="shared" si="0"/>
        <v>2396.6</v>
      </c>
    </row>
    <row r="16" spans="1:6" x14ac:dyDescent="0.25">
      <c r="A16" s="3">
        <v>45379</v>
      </c>
      <c r="B16" t="s">
        <v>18</v>
      </c>
      <c r="C16" t="s">
        <v>8</v>
      </c>
      <c r="D16">
        <v>3</v>
      </c>
      <c r="E16">
        <v>2132.62</v>
      </c>
      <c r="F16">
        <f t="shared" si="0"/>
        <v>6397.86</v>
      </c>
    </row>
    <row r="17" spans="1:6" x14ac:dyDescent="0.25">
      <c r="A17" s="3">
        <v>45664</v>
      </c>
      <c r="B17" t="s">
        <v>11</v>
      </c>
      <c r="C17" t="s">
        <v>8</v>
      </c>
      <c r="D17">
        <v>5</v>
      </c>
      <c r="E17">
        <v>1439.69</v>
      </c>
      <c r="F17">
        <f t="shared" si="0"/>
        <v>7198.4500000000007</v>
      </c>
    </row>
    <row r="18" spans="1:6" x14ac:dyDescent="0.25">
      <c r="A18" s="3">
        <v>45391</v>
      </c>
      <c r="B18" t="s">
        <v>15</v>
      </c>
      <c r="C18" t="s">
        <v>14</v>
      </c>
      <c r="D18">
        <v>3</v>
      </c>
      <c r="E18">
        <v>376.24</v>
      </c>
      <c r="F18">
        <f t="shared" si="0"/>
        <v>1128.72</v>
      </c>
    </row>
    <row r="19" spans="1:6" x14ac:dyDescent="0.25">
      <c r="A19" s="3">
        <v>45651</v>
      </c>
      <c r="B19" t="s">
        <v>19</v>
      </c>
      <c r="C19" t="s">
        <v>14</v>
      </c>
      <c r="D19">
        <v>1</v>
      </c>
      <c r="E19">
        <v>4337.1400000000003</v>
      </c>
      <c r="F19">
        <f t="shared" si="0"/>
        <v>4337.1400000000003</v>
      </c>
    </row>
    <row r="20" spans="1:6" x14ac:dyDescent="0.25">
      <c r="A20" s="3">
        <v>45443</v>
      </c>
      <c r="B20" t="s">
        <v>15</v>
      </c>
      <c r="C20" t="s">
        <v>14</v>
      </c>
      <c r="D20">
        <v>1</v>
      </c>
      <c r="E20">
        <v>4083.21</v>
      </c>
      <c r="F20">
        <f t="shared" si="0"/>
        <v>4083.21</v>
      </c>
    </row>
    <row r="21" spans="1:6" x14ac:dyDescent="0.25">
      <c r="A21" s="3">
        <v>45422</v>
      </c>
      <c r="B21" t="s">
        <v>9</v>
      </c>
      <c r="C21" t="s">
        <v>6</v>
      </c>
      <c r="D21">
        <v>8</v>
      </c>
      <c r="E21">
        <v>4998.62</v>
      </c>
      <c r="F21">
        <f t="shared" si="0"/>
        <v>39988.959999999999</v>
      </c>
    </row>
    <row r="22" spans="1:6" x14ac:dyDescent="0.25">
      <c r="A22" s="3">
        <v>45441</v>
      </c>
      <c r="B22" t="s">
        <v>16</v>
      </c>
      <c r="C22" t="s">
        <v>14</v>
      </c>
      <c r="D22">
        <v>10</v>
      </c>
      <c r="E22">
        <v>4983.5200000000004</v>
      </c>
      <c r="F22">
        <f t="shared" si="0"/>
        <v>49835.200000000004</v>
      </c>
    </row>
    <row r="23" spans="1:6" x14ac:dyDescent="0.25">
      <c r="A23" s="3">
        <v>45600</v>
      </c>
      <c r="B23" t="s">
        <v>12</v>
      </c>
      <c r="C23" t="s">
        <v>6</v>
      </c>
      <c r="D23">
        <v>2</v>
      </c>
      <c r="E23">
        <v>2821.62</v>
      </c>
      <c r="F23">
        <f t="shared" si="0"/>
        <v>5643.24</v>
      </c>
    </row>
    <row r="24" spans="1:6" x14ac:dyDescent="0.25">
      <c r="A24" s="3">
        <v>45549</v>
      </c>
      <c r="B24" t="s">
        <v>18</v>
      </c>
      <c r="C24" t="s">
        <v>8</v>
      </c>
      <c r="D24">
        <v>3</v>
      </c>
      <c r="E24">
        <v>3868.04</v>
      </c>
      <c r="F24">
        <f t="shared" si="0"/>
        <v>11604.119999999999</v>
      </c>
    </row>
    <row r="25" spans="1:6" x14ac:dyDescent="0.25">
      <c r="A25" s="3">
        <v>45635</v>
      </c>
      <c r="B25" t="s">
        <v>12</v>
      </c>
      <c r="C25" t="s">
        <v>6</v>
      </c>
      <c r="D25">
        <v>2</v>
      </c>
      <c r="E25">
        <v>4729.3500000000004</v>
      </c>
      <c r="F25">
        <f t="shared" si="0"/>
        <v>9458.7000000000007</v>
      </c>
    </row>
    <row r="26" spans="1:6" x14ac:dyDescent="0.25">
      <c r="A26" s="3">
        <v>45783</v>
      </c>
      <c r="B26" t="s">
        <v>16</v>
      </c>
      <c r="C26" t="s">
        <v>14</v>
      </c>
      <c r="D26">
        <v>3</v>
      </c>
      <c r="E26">
        <v>4263.2700000000004</v>
      </c>
      <c r="F26">
        <f t="shared" si="0"/>
        <v>12789.810000000001</v>
      </c>
    </row>
    <row r="27" spans="1:6" x14ac:dyDescent="0.25">
      <c r="A27" s="3">
        <v>45705</v>
      </c>
      <c r="B27" t="s">
        <v>18</v>
      </c>
      <c r="C27" t="s">
        <v>8</v>
      </c>
      <c r="D27">
        <v>7</v>
      </c>
      <c r="E27">
        <v>1312.01</v>
      </c>
      <c r="F27">
        <f t="shared" si="0"/>
        <v>9184.07</v>
      </c>
    </row>
    <row r="28" spans="1:6" x14ac:dyDescent="0.25">
      <c r="A28" s="3">
        <v>45585</v>
      </c>
      <c r="B28" t="s">
        <v>17</v>
      </c>
      <c r="C28" t="s">
        <v>8</v>
      </c>
      <c r="D28">
        <v>1</v>
      </c>
      <c r="E28">
        <v>2307.67</v>
      </c>
      <c r="F28">
        <f t="shared" si="0"/>
        <v>2307.67</v>
      </c>
    </row>
    <row r="29" spans="1:6" x14ac:dyDescent="0.25">
      <c r="A29" s="3">
        <v>45677</v>
      </c>
      <c r="B29" t="s">
        <v>17</v>
      </c>
      <c r="C29" t="s">
        <v>8</v>
      </c>
      <c r="D29">
        <v>10</v>
      </c>
      <c r="E29">
        <v>732.88</v>
      </c>
      <c r="F29">
        <f t="shared" si="0"/>
        <v>7328.8</v>
      </c>
    </row>
    <row r="30" spans="1:6" x14ac:dyDescent="0.25">
      <c r="A30" s="3">
        <v>45483</v>
      </c>
      <c r="B30" t="s">
        <v>12</v>
      </c>
      <c r="C30" t="s">
        <v>6</v>
      </c>
      <c r="D30">
        <v>8</v>
      </c>
      <c r="E30">
        <v>4774.8500000000004</v>
      </c>
      <c r="F30">
        <f t="shared" si="0"/>
        <v>38198.800000000003</v>
      </c>
    </row>
    <row r="31" spans="1:6" x14ac:dyDescent="0.25">
      <c r="A31" s="3">
        <v>45735</v>
      </c>
      <c r="B31" t="s">
        <v>13</v>
      </c>
      <c r="C31" t="s">
        <v>14</v>
      </c>
      <c r="D31">
        <v>10</v>
      </c>
      <c r="E31">
        <v>3070.26</v>
      </c>
      <c r="F31">
        <f t="shared" si="0"/>
        <v>30702.600000000002</v>
      </c>
    </row>
    <row r="32" spans="1:6" x14ac:dyDescent="0.25">
      <c r="A32" s="3">
        <v>45568</v>
      </c>
      <c r="B32" t="s">
        <v>11</v>
      </c>
      <c r="C32" t="s">
        <v>8</v>
      </c>
      <c r="D32">
        <v>10</v>
      </c>
      <c r="E32">
        <v>1220.3499999999999</v>
      </c>
      <c r="F32">
        <f t="shared" si="0"/>
        <v>12203.5</v>
      </c>
    </row>
    <row r="33" spans="1:6" x14ac:dyDescent="0.25">
      <c r="A33" s="3">
        <v>45452</v>
      </c>
      <c r="B33" t="s">
        <v>7</v>
      </c>
      <c r="C33" t="s">
        <v>8</v>
      </c>
      <c r="D33">
        <v>10</v>
      </c>
      <c r="E33">
        <v>3391.33</v>
      </c>
      <c r="F33">
        <f t="shared" si="0"/>
        <v>33913.300000000003</v>
      </c>
    </row>
    <row r="34" spans="1:6" x14ac:dyDescent="0.25">
      <c r="A34" s="3">
        <v>45751</v>
      </c>
      <c r="B34" t="s">
        <v>7</v>
      </c>
      <c r="C34" t="s">
        <v>8</v>
      </c>
      <c r="D34">
        <v>2</v>
      </c>
      <c r="E34">
        <v>3128.83</v>
      </c>
      <c r="F34">
        <f t="shared" si="0"/>
        <v>6257.66</v>
      </c>
    </row>
    <row r="35" spans="1:6" x14ac:dyDescent="0.25">
      <c r="A35" s="3">
        <v>45605</v>
      </c>
      <c r="B35" t="s">
        <v>10</v>
      </c>
      <c r="C35" t="s">
        <v>6</v>
      </c>
      <c r="D35">
        <v>3</v>
      </c>
      <c r="E35">
        <v>1855</v>
      </c>
      <c r="F35">
        <f t="shared" si="0"/>
        <v>5565</v>
      </c>
    </row>
    <row r="36" spans="1:6" x14ac:dyDescent="0.25">
      <c r="A36" s="3">
        <v>45313</v>
      </c>
      <c r="B36" t="s">
        <v>12</v>
      </c>
      <c r="C36" t="s">
        <v>6</v>
      </c>
      <c r="D36">
        <v>9</v>
      </c>
      <c r="E36">
        <v>656.43</v>
      </c>
      <c r="F36">
        <f t="shared" si="0"/>
        <v>5907.87</v>
      </c>
    </row>
    <row r="37" spans="1:6" x14ac:dyDescent="0.25">
      <c r="A37" s="3">
        <v>45544</v>
      </c>
      <c r="B37" t="s">
        <v>19</v>
      </c>
      <c r="C37" t="s">
        <v>14</v>
      </c>
      <c r="D37">
        <v>7</v>
      </c>
      <c r="E37">
        <v>3390.71</v>
      </c>
      <c r="F37">
        <f t="shared" si="0"/>
        <v>23734.97</v>
      </c>
    </row>
    <row r="38" spans="1:6" x14ac:dyDescent="0.25">
      <c r="A38" s="3">
        <v>45527</v>
      </c>
      <c r="B38" t="s">
        <v>10</v>
      </c>
      <c r="C38" t="s">
        <v>6</v>
      </c>
      <c r="D38">
        <v>4</v>
      </c>
      <c r="E38">
        <v>2649.51</v>
      </c>
      <c r="F38">
        <f t="shared" si="0"/>
        <v>10598.04</v>
      </c>
    </row>
    <row r="39" spans="1:6" x14ac:dyDescent="0.25">
      <c r="A39" s="3">
        <v>45636</v>
      </c>
      <c r="B39" t="s">
        <v>7</v>
      </c>
      <c r="C39" t="s">
        <v>8</v>
      </c>
      <c r="D39">
        <v>10</v>
      </c>
      <c r="E39">
        <v>3884.36</v>
      </c>
      <c r="F39">
        <f t="shared" si="0"/>
        <v>38843.599999999999</v>
      </c>
    </row>
    <row r="40" spans="1:6" x14ac:dyDescent="0.25">
      <c r="A40" s="3">
        <v>45340</v>
      </c>
      <c r="B40" t="s">
        <v>15</v>
      </c>
      <c r="C40" t="s">
        <v>14</v>
      </c>
      <c r="D40">
        <v>5</v>
      </c>
      <c r="E40">
        <v>2648.8</v>
      </c>
      <c r="F40">
        <f t="shared" si="0"/>
        <v>13244</v>
      </c>
    </row>
    <row r="41" spans="1:6" x14ac:dyDescent="0.25">
      <c r="A41" s="3">
        <v>45766</v>
      </c>
      <c r="B41" t="s">
        <v>18</v>
      </c>
      <c r="C41" t="s">
        <v>8</v>
      </c>
      <c r="D41">
        <v>2</v>
      </c>
      <c r="E41">
        <v>4275.6899999999996</v>
      </c>
      <c r="F41">
        <f t="shared" si="0"/>
        <v>8551.3799999999992</v>
      </c>
    </row>
    <row r="42" spans="1:6" x14ac:dyDescent="0.25">
      <c r="A42" s="3">
        <v>45350</v>
      </c>
      <c r="B42" t="s">
        <v>17</v>
      </c>
      <c r="C42" t="s">
        <v>8</v>
      </c>
      <c r="D42">
        <v>8</v>
      </c>
      <c r="E42">
        <v>2804.34</v>
      </c>
      <c r="F42">
        <f t="shared" si="0"/>
        <v>22434.720000000001</v>
      </c>
    </row>
    <row r="43" spans="1:6" x14ac:dyDescent="0.25">
      <c r="A43" s="3">
        <v>45461</v>
      </c>
      <c r="B43" t="s">
        <v>10</v>
      </c>
      <c r="C43" t="s">
        <v>6</v>
      </c>
      <c r="D43">
        <v>4</v>
      </c>
      <c r="E43">
        <v>2848.6</v>
      </c>
      <c r="F43">
        <f t="shared" si="0"/>
        <v>11394.4</v>
      </c>
    </row>
    <row r="44" spans="1:6" x14ac:dyDescent="0.25">
      <c r="A44" s="3">
        <v>45767</v>
      </c>
      <c r="B44" t="s">
        <v>15</v>
      </c>
      <c r="C44" t="s">
        <v>14</v>
      </c>
      <c r="D44">
        <v>9</v>
      </c>
      <c r="E44">
        <v>4395.6000000000004</v>
      </c>
      <c r="F44">
        <f t="shared" si="0"/>
        <v>39560.400000000001</v>
      </c>
    </row>
    <row r="45" spans="1:6" x14ac:dyDescent="0.25">
      <c r="A45" s="3">
        <v>45479</v>
      </c>
      <c r="B45" t="s">
        <v>5</v>
      </c>
      <c r="C45" t="s">
        <v>6</v>
      </c>
      <c r="D45">
        <v>5</v>
      </c>
      <c r="E45">
        <v>2077.0700000000002</v>
      </c>
      <c r="F45">
        <f t="shared" si="0"/>
        <v>10385.35</v>
      </c>
    </row>
    <row r="46" spans="1:6" x14ac:dyDescent="0.25">
      <c r="A46" s="3">
        <v>45755</v>
      </c>
      <c r="B46" t="s">
        <v>9</v>
      </c>
      <c r="C46" t="s">
        <v>6</v>
      </c>
      <c r="D46">
        <v>9</v>
      </c>
      <c r="E46">
        <v>756.67</v>
      </c>
      <c r="F46">
        <f t="shared" si="0"/>
        <v>6810.03</v>
      </c>
    </row>
    <row r="47" spans="1:6" x14ac:dyDescent="0.25">
      <c r="A47" s="3">
        <v>45562</v>
      </c>
      <c r="B47" t="s">
        <v>13</v>
      </c>
      <c r="C47" t="s">
        <v>14</v>
      </c>
      <c r="D47">
        <v>4</v>
      </c>
      <c r="E47">
        <v>241.04</v>
      </c>
      <c r="F47">
        <f t="shared" si="0"/>
        <v>964.16</v>
      </c>
    </row>
    <row r="48" spans="1:6" x14ac:dyDescent="0.25">
      <c r="A48" s="3">
        <v>45481</v>
      </c>
      <c r="B48" t="s">
        <v>11</v>
      </c>
      <c r="C48" t="s">
        <v>8</v>
      </c>
      <c r="D48">
        <v>10</v>
      </c>
      <c r="E48">
        <v>3800.17</v>
      </c>
      <c r="F48">
        <f t="shared" si="0"/>
        <v>38001.699999999997</v>
      </c>
    </row>
    <row r="49" spans="1:6" x14ac:dyDescent="0.25">
      <c r="A49" s="3">
        <v>45737</v>
      </c>
      <c r="B49" t="s">
        <v>17</v>
      </c>
      <c r="C49" t="s">
        <v>8</v>
      </c>
      <c r="D49">
        <v>5</v>
      </c>
      <c r="E49">
        <v>3139.52</v>
      </c>
      <c r="F49">
        <f t="shared" si="0"/>
        <v>15697.6</v>
      </c>
    </row>
    <row r="50" spans="1:6" x14ac:dyDescent="0.25">
      <c r="A50" s="3">
        <v>45466</v>
      </c>
      <c r="B50" t="s">
        <v>16</v>
      </c>
      <c r="C50" t="s">
        <v>14</v>
      </c>
      <c r="D50">
        <v>9</v>
      </c>
      <c r="E50">
        <v>3549.99</v>
      </c>
      <c r="F50">
        <f t="shared" si="0"/>
        <v>31949.909999999996</v>
      </c>
    </row>
    <row r="51" spans="1:6" x14ac:dyDescent="0.25">
      <c r="A51" s="3">
        <v>45737</v>
      </c>
      <c r="B51" t="s">
        <v>7</v>
      </c>
      <c r="C51" t="s">
        <v>8</v>
      </c>
      <c r="D51">
        <v>8</v>
      </c>
      <c r="E51">
        <v>1143.52</v>
      </c>
      <c r="F51">
        <f t="shared" si="0"/>
        <v>9148.16</v>
      </c>
    </row>
    <row r="52" spans="1:6" x14ac:dyDescent="0.25">
      <c r="A52" s="3">
        <v>45342</v>
      </c>
      <c r="B52" t="s">
        <v>19</v>
      </c>
      <c r="C52" t="s">
        <v>14</v>
      </c>
      <c r="D52">
        <v>3</v>
      </c>
      <c r="E52">
        <v>768.22</v>
      </c>
      <c r="F52">
        <f t="shared" si="0"/>
        <v>2304.66</v>
      </c>
    </row>
    <row r="53" spans="1:6" x14ac:dyDescent="0.25">
      <c r="A53" s="3">
        <v>45655</v>
      </c>
      <c r="B53" t="s">
        <v>13</v>
      </c>
      <c r="C53" t="s">
        <v>14</v>
      </c>
      <c r="D53">
        <v>1</v>
      </c>
      <c r="E53">
        <v>171.27</v>
      </c>
      <c r="F53">
        <f t="shared" si="0"/>
        <v>171.27</v>
      </c>
    </row>
    <row r="54" spans="1:6" x14ac:dyDescent="0.25">
      <c r="A54" s="3">
        <v>45346</v>
      </c>
      <c r="B54" t="s">
        <v>9</v>
      </c>
      <c r="C54" t="s">
        <v>6</v>
      </c>
      <c r="D54">
        <v>3</v>
      </c>
      <c r="E54">
        <v>1817.88</v>
      </c>
      <c r="F54">
        <f t="shared" si="0"/>
        <v>5453.64</v>
      </c>
    </row>
    <row r="55" spans="1:6" x14ac:dyDescent="0.25">
      <c r="A55" s="3">
        <v>45535</v>
      </c>
      <c r="B55" t="s">
        <v>13</v>
      </c>
      <c r="C55" t="s">
        <v>14</v>
      </c>
      <c r="D55">
        <v>4</v>
      </c>
      <c r="E55">
        <v>2990.6</v>
      </c>
      <c r="F55">
        <f t="shared" si="0"/>
        <v>11962.4</v>
      </c>
    </row>
    <row r="56" spans="1:6" x14ac:dyDescent="0.25">
      <c r="A56" s="3">
        <v>45611</v>
      </c>
      <c r="B56" t="s">
        <v>9</v>
      </c>
      <c r="C56" t="s">
        <v>6</v>
      </c>
      <c r="D56">
        <v>2</v>
      </c>
      <c r="E56">
        <v>2022</v>
      </c>
      <c r="F56">
        <f t="shared" si="0"/>
        <v>4044</v>
      </c>
    </row>
    <row r="57" spans="1:6" x14ac:dyDescent="0.25">
      <c r="A57" s="3">
        <v>45422</v>
      </c>
      <c r="B57" t="s">
        <v>11</v>
      </c>
      <c r="C57" t="s">
        <v>8</v>
      </c>
      <c r="D57">
        <v>1</v>
      </c>
      <c r="E57">
        <v>2243.63</v>
      </c>
      <c r="F57">
        <f t="shared" si="0"/>
        <v>2243.63</v>
      </c>
    </row>
    <row r="58" spans="1:6" x14ac:dyDescent="0.25">
      <c r="A58" s="3">
        <v>45776</v>
      </c>
      <c r="B58" t="s">
        <v>17</v>
      </c>
      <c r="C58" t="s">
        <v>8</v>
      </c>
      <c r="D58">
        <v>7</v>
      </c>
      <c r="E58">
        <v>4530.38</v>
      </c>
      <c r="F58">
        <f t="shared" si="0"/>
        <v>31712.66</v>
      </c>
    </row>
    <row r="59" spans="1:6" x14ac:dyDescent="0.25">
      <c r="A59" s="3">
        <v>45598</v>
      </c>
      <c r="B59" t="s">
        <v>11</v>
      </c>
      <c r="C59" t="s">
        <v>8</v>
      </c>
      <c r="D59">
        <v>8</v>
      </c>
      <c r="E59">
        <v>1806.45</v>
      </c>
      <c r="F59">
        <f t="shared" si="0"/>
        <v>14451.6</v>
      </c>
    </row>
    <row r="60" spans="1:6" x14ac:dyDescent="0.25">
      <c r="A60" s="3">
        <v>45426</v>
      </c>
      <c r="B60" t="s">
        <v>17</v>
      </c>
      <c r="C60" t="s">
        <v>8</v>
      </c>
      <c r="D60">
        <v>7</v>
      </c>
      <c r="E60">
        <v>2618.5500000000002</v>
      </c>
      <c r="F60">
        <f t="shared" si="0"/>
        <v>18329.850000000002</v>
      </c>
    </row>
    <row r="61" spans="1:6" x14ac:dyDescent="0.25">
      <c r="A61" s="3">
        <v>45312</v>
      </c>
      <c r="B61" t="s">
        <v>9</v>
      </c>
      <c r="C61" t="s">
        <v>6</v>
      </c>
      <c r="D61">
        <v>5</v>
      </c>
      <c r="E61">
        <v>3939.9</v>
      </c>
      <c r="F61">
        <f t="shared" si="0"/>
        <v>19699.5</v>
      </c>
    </row>
    <row r="62" spans="1:6" x14ac:dyDescent="0.25">
      <c r="A62" s="3">
        <v>45620</v>
      </c>
      <c r="B62" t="s">
        <v>18</v>
      </c>
      <c r="C62" t="s">
        <v>8</v>
      </c>
      <c r="D62">
        <v>1</v>
      </c>
      <c r="E62">
        <v>2043.06</v>
      </c>
      <c r="F62">
        <f t="shared" si="0"/>
        <v>2043.06</v>
      </c>
    </row>
    <row r="63" spans="1:6" x14ac:dyDescent="0.25">
      <c r="A63" s="3">
        <v>45458</v>
      </c>
      <c r="B63" t="s">
        <v>16</v>
      </c>
      <c r="C63" t="s">
        <v>14</v>
      </c>
      <c r="D63">
        <v>7</v>
      </c>
      <c r="E63">
        <v>3148.22</v>
      </c>
      <c r="F63">
        <f t="shared" si="0"/>
        <v>22037.539999999997</v>
      </c>
    </row>
    <row r="64" spans="1:6" x14ac:dyDescent="0.25">
      <c r="A64" s="3">
        <v>45565</v>
      </c>
      <c r="B64" t="s">
        <v>16</v>
      </c>
      <c r="C64" t="s">
        <v>14</v>
      </c>
      <c r="D64">
        <v>7</v>
      </c>
      <c r="E64">
        <v>4325.58</v>
      </c>
      <c r="F64">
        <f t="shared" si="0"/>
        <v>30279.059999999998</v>
      </c>
    </row>
    <row r="65" spans="1:6" x14ac:dyDescent="0.25">
      <c r="A65" s="3">
        <v>45679</v>
      </c>
      <c r="B65" t="s">
        <v>19</v>
      </c>
      <c r="C65" t="s">
        <v>14</v>
      </c>
      <c r="D65">
        <v>9</v>
      </c>
      <c r="E65">
        <v>4752.6499999999996</v>
      </c>
      <c r="F65">
        <f t="shared" si="0"/>
        <v>42773.85</v>
      </c>
    </row>
    <row r="66" spans="1:6" x14ac:dyDescent="0.25">
      <c r="A66" s="3">
        <v>45380</v>
      </c>
      <c r="B66" t="s">
        <v>12</v>
      </c>
      <c r="C66" t="s">
        <v>6</v>
      </c>
      <c r="D66">
        <v>3</v>
      </c>
      <c r="E66">
        <v>820.66</v>
      </c>
      <c r="F66">
        <f t="shared" si="0"/>
        <v>2461.98</v>
      </c>
    </row>
    <row r="67" spans="1:6" x14ac:dyDescent="0.25">
      <c r="A67" s="3">
        <v>45607</v>
      </c>
      <c r="B67" t="s">
        <v>17</v>
      </c>
      <c r="C67" t="s">
        <v>8</v>
      </c>
      <c r="D67">
        <v>9</v>
      </c>
      <c r="E67">
        <v>4640.28</v>
      </c>
      <c r="F67">
        <f t="shared" ref="F67:F130" si="1">PRODUCT(D67,E67)</f>
        <v>41762.519999999997</v>
      </c>
    </row>
    <row r="68" spans="1:6" x14ac:dyDescent="0.25">
      <c r="A68" s="3">
        <v>45305</v>
      </c>
      <c r="B68" t="s">
        <v>11</v>
      </c>
      <c r="C68" t="s">
        <v>8</v>
      </c>
      <c r="D68">
        <v>1</v>
      </c>
      <c r="E68">
        <v>2511.37</v>
      </c>
      <c r="F68">
        <f t="shared" si="1"/>
        <v>2511.37</v>
      </c>
    </row>
    <row r="69" spans="1:6" x14ac:dyDescent="0.25">
      <c r="A69" s="3">
        <v>45533</v>
      </c>
      <c r="B69" t="s">
        <v>18</v>
      </c>
      <c r="C69" t="s">
        <v>8</v>
      </c>
      <c r="D69">
        <v>1</v>
      </c>
      <c r="E69">
        <v>1365.4</v>
      </c>
      <c r="F69">
        <f t="shared" si="1"/>
        <v>1365.4</v>
      </c>
    </row>
    <row r="70" spans="1:6" x14ac:dyDescent="0.25">
      <c r="A70" s="3">
        <v>45556</v>
      </c>
      <c r="B70" t="s">
        <v>10</v>
      </c>
      <c r="C70" t="s">
        <v>6</v>
      </c>
      <c r="D70">
        <v>4</v>
      </c>
      <c r="E70">
        <v>2349.77</v>
      </c>
      <c r="F70">
        <f t="shared" si="1"/>
        <v>9399.08</v>
      </c>
    </row>
    <row r="71" spans="1:6" x14ac:dyDescent="0.25">
      <c r="A71" s="3">
        <v>45637</v>
      </c>
      <c r="B71" t="s">
        <v>15</v>
      </c>
      <c r="C71" t="s">
        <v>14</v>
      </c>
      <c r="D71">
        <v>9</v>
      </c>
      <c r="E71">
        <v>4902.16</v>
      </c>
      <c r="F71">
        <f t="shared" si="1"/>
        <v>44119.44</v>
      </c>
    </row>
    <row r="72" spans="1:6" x14ac:dyDescent="0.25">
      <c r="A72" s="3">
        <v>45344</v>
      </c>
      <c r="B72" t="s">
        <v>16</v>
      </c>
      <c r="C72" t="s">
        <v>14</v>
      </c>
      <c r="D72">
        <v>6</v>
      </c>
      <c r="E72">
        <v>2513.83</v>
      </c>
      <c r="F72">
        <f t="shared" si="1"/>
        <v>15082.98</v>
      </c>
    </row>
    <row r="73" spans="1:6" x14ac:dyDescent="0.25">
      <c r="A73" s="3">
        <v>45677</v>
      </c>
      <c r="B73" t="s">
        <v>7</v>
      </c>
      <c r="C73" t="s">
        <v>8</v>
      </c>
      <c r="D73">
        <v>3</v>
      </c>
      <c r="E73">
        <v>1710.88</v>
      </c>
      <c r="F73">
        <f t="shared" si="1"/>
        <v>5132.6400000000003</v>
      </c>
    </row>
    <row r="74" spans="1:6" x14ac:dyDescent="0.25">
      <c r="A74" s="3">
        <v>45631</v>
      </c>
      <c r="B74" t="s">
        <v>15</v>
      </c>
      <c r="C74" t="s">
        <v>14</v>
      </c>
      <c r="D74">
        <v>1</v>
      </c>
      <c r="E74">
        <v>3203.66</v>
      </c>
      <c r="F74">
        <f t="shared" si="1"/>
        <v>3203.66</v>
      </c>
    </row>
    <row r="75" spans="1:6" x14ac:dyDescent="0.25">
      <c r="A75" s="3">
        <v>45383</v>
      </c>
      <c r="B75" t="s">
        <v>16</v>
      </c>
      <c r="C75" t="s">
        <v>14</v>
      </c>
      <c r="D75">
        <v>4</v>
      </c>
      <c r="E75">
        <v>1276.71</v>
      </c>
      <c r="F75">
        <f t="shared" si="1"/>
        <v>5106.84</v>
      </c>
    </row>
    <row r="76" spans="1:6" x14ac:dyDescent="0.25">
      <c r="A76" s="3">
        <v>45658</v>
      </c>
      <c r="B76" t="s">
        <v>12</v>
      </c>
      <c r="C76" t="s">
        <v>6</v>
      </c>
      <c r="D76">
        <v>9</v>
      </c>
      <c r="E76">
        <v>471.73</v>
      </c>
      <c r="F76">
        <f t="shared" si="1"/>
        <v>4245.57</v>
      </c>
    </row>
    <row r="77" spans="1:6" x14ac:dyDescent="0.25">
      <c r="A77" s="3">
        <v>45735</v>
      </c>
      <c r="B77" t="s">
        <v>5</v>
      </c>
      <c r="C77" t="s">
        <v>6</v>
      </c>
      <c r="D77">
        <v>3</v>
      </c>
      <c r="E77">
        <v>731.51</v>
      </c>
      <c r="F77">
        <f t="shared" si="1"/>
        <v>2194.5299999999997</v>
      </c>
    </row>
    <row r="78" spans="1:6" x14ac:dyDescent="0.25">
      <c r="A78" s="3">
        <v>45746</v>
      </c>
      <c r="B78" t="s">
        <v>12</v>
      </c>
      <c r="C78" t="s">
        <v>6</v>
      </c>
      <c r="D78">
        <v>9</v>
      </c>
      <c r="E78">
        <v>727.42</v>
      </c>
      <c r="F78">
        <f t="shared" si="1"/>
        <v>6546.78</v>
      </c>
    </row>
    <row r="79" spans="1:6" x14ac:dyDescent="0.25">
      <c r="A79" s="3">
        <v>45719</v>
      </c>
      <c r="B79" t="s">
        <v>12</v>
      </c>
      <c r="C79" t="s">
        <v>6</v>
      </c>
      <c r="D79">
        <v>7</v>
      </c>
      <c r="E79">
        <v>844.32</v>
      </c>
      <c r="F79">
        <f t="shared" si="1"/>
        <v>5910.2400000000007</v>
      </c>
    </row>
    <row r="80" spans="1:6" x14ac:dyDescent="0.25">
      <c r="A80" s="3">
        <v>45555</v>
      </c>
      <c r="B80" t="s">
        <v>17</v>
      </c>
      <c r="C80" t="s">
        <v>8</v>
      </c>
      <c r="D80">
        <v>4</v>
      </c>
      <c r="E80">
        <v>780.25</v>
      </c>
      <c r="F80">
        <f t="shared" si="1"/>
        <v>3121</v>
      </c>
    </row>
    <row r="81" spans="1:6" x14ac:dyDescent="0.25">
      <c r="A81" s="3">
        <v>45722</v>
      </c>
      <c r="B81" t="s">
        <v>12</v>
      </c>
      <c r="C81" t="s">
        <v>6</v>
      </c>
      <c r="D81">
        <v>3</v>
      </c>
      <c r="E81">
        <v>3240.29</v>
      </c>
      <c r="F81">
        <f t="shared" si="1"/>
        <v>9720.869999999999</v>
      </c>
    </row>
    <row r="82" spans="1:6" x14ac:dyDescent="0.25">
      <c r="A82" s="3">
        <v>45326</v>
      </c>
      <c r="B82" t="s">
        <v>13</v>
      </c>
      <c r="C82" t="s">
        <v>14</v>
      </c>
      <c r="D82">
        <v>10</v>
      </c>
      <c r="E82">
        <v>991.21</v>
      </c>
      <c r="F82">
        <f t="shared" si="1"/>
        <v>9912.1</v>
      </c>
    </row>
    <row r="83" spans="1:6" x14ac:dyDescent="0.25">
      <c r="A83" s="3">
        <v>45497</v>
      </c>
      <c r="B83" t="s">
        <v>11</v>
      </c>
      <c r="C83" t="s">
        <v>8</v>
      </c>
      <c r="D83">
        <v>5</v>
      </c>
      <c r="E83">
        <v>1793.77</v>
      </c>
      <c r="F83">
        <f t="shared" si="1"/>
        <v>8968.85</v>
      </c>
    </row>
    <row r="84" spans="1:6" x14ac:dyDescent="0.25">
      <c r="A84" s="3">
        <v>45372</v>
      </c>
      <c r="B84" t="s">
        <v>15</v>
      </c>
      <c r="C84" t="s">
        <v>14</v>
      </c>
      <c r="D84">
        <v>5</v>
      </c>
      <c r="E84">
        <v>4494.26</v>
      </c>
      <c r="F84">
        <f t="shared" si="1"/>
        <v>22471.300000000003</v>
      </c>
    </row>
    <row r="85" spans="1:6" x14ac:dyDescent="0.25">
      <c r="A85" s="3">
        <v>45711</v>
      </c>
      <c r="B85" t="s">
        <v>15</v>
      </c>
      <c r="C85" t="s">
        <v>14</v>
      </c>
      <c r="D85">
        <v>3</v>
      </c>
      <c r="E85">
        <v>2422.41</v>
      </c>
      <c r="F85">
        <f t="shared" si="1"/>
        <v>7267.23</v>
      </c>
    </row>
    <row r="86" spans="1:6" x14ac:dyDescent="0.25">
      <c r="A86" s="3">
        <v>45341</v>
      </c>
      <c r="B86" t="s">
        <v>16</v>
      </c>
      <c r="C86" t="s">
        <v>14</v>
      </c>
      <c r="D86">
        <v>9</v>
      </c>
      <c r="E86">
        <v>3371.03</v>
      </c>
      <c r="F86">
        <f t="shared" si="1"/>
        <v>30339.27</v>
      </c>
    </row>
    <row r="87" spans="1:6" x14ac:dyDescent="0.25">
      <c r="A87" s="3">
        <v>45651</v>
      </c>
      <c r="B87" t="s">
        <v>12</v>
      </c>
      <c r="C87" t="s">
        <v>6</v>
      </c>
      <c r="D87">
        <v>4</v>
      </c>
      <c r="E87">
        <v>944.37</v>
      </c>
      <c r="F87">
        <f t="shared" si="1"/>
        <v>3777.48</v>
      </c>
    </row>
    <row r="88" spans="1:6" x14ac:dyDescent="0.25">
      <c r="A88" s="3">
        <v>45679</v>
      </c>
      <c r="B88" t="s">
        <v>10</v>
      </c>
      <c r="C88" t="s">
        <v>6</v>
      </c>
      <c r="D88">
        <v>5</v>
      </c>
      <c r="E88">
        <v>1042.22</v>
      </c>
      <c r="F88">
        <f t="shared" si="1"/>
        <v>5211.1000000000004</v>
      </c>
    </row>
    <row r="89" spans="1:6" x14ac:dyDescent="0.25">
      <c r="A89" s="3">
        <v>45293</v>
      </c>
      <c r="B89" t="s">
        <v>11</v>
      </c>
      <c r="C89" t="s">
        <v>8</v>
      </c>
      <c r="D89">
        <v>4</v>
      </c>
      <c r="E89">
        <v>300.26</v>
      </c>
      <c r="F89">
        <f t="shared" si="1"/>
        <v>1201.04</v>
      </c>
    </row>
    <row r="90" spans="1:6" x14ac:dyDescent="0.25">
      <c r="A90" s="3">
        <v>45681</v>
      </c>
      <c r="B90" t="s">
        <v>7</v>
      </c>
      <c r="C90" t="s">
        <v>8</v>
      </c>
      <c r="D90">
        <v>5</v>
      </c>
      <c r="E90">
        <v>927.78</v>
      </c>
      <c r="F90">
        <f t="shared" si="1"/>
        <v>4638.8999999999996</v>
      </c>
    </row>
    <row r="91" spans="1:6" x14ac:dyDescent="0.25">
      <c r="A91" s="3">
        <v>45345</v>
      </c>
      <c r="B91" t="s">
        <v>5</v>
      </c>
      <c r="C91" t="s">
        <v>6</v>
      </c>
      <c r="D91">
        <v>7</v>
      </c>
      <c r="E91">
        <v>1465.09</v>
      </c>
      <c r="F91">
        <f t="shared" si="1"/>
        <v>10255.629999999999</v>
      </c>
    </row>
    <row r="92" spans="1:6" x14ac:dyDescent="0.25">
      <c r="A92" s="3">
        <v>45397</v>
      </c>
      <c r="B92" t="s">
        <v>19</v>
      </c>
      <c r="C92" t="s">
        <v>14</v>
      </c>
      <c r="D92">
        <v>9</v>
      </c>
      <c r="E92">
        <v>967.35</v>
      </c>
      <c r="F92">
        <f t="shared" si="1"/>
        <v>8706.15</v>
      </c>
    </row>
    <row r="93" spans="1:6" x14ac:dyDescent="0.25">
      <c r="A93" s="3">
        <v>45551</v>
      </c>
      <c r="B93" t="s">
        <v>7</v>
      </c>
      <c r="C93" t="s">
        <v>8</v>
      </c>
      <c r="D93">
        <v>7</v>
      </c>
      <c r="E93">
        <v>534.64</v>
      </c>
      <c r="F93">
        <f t="shared" si="1"/>
        <v>3742.48</v>
      </c>
    </row>
    <row r="94" spans="1:6" x14ac:dyDescent="0.25">
      <c r="A94" s="3">
        <v>45601</v>
      </c>
      <c r="B94" t="s">
        <v>9</v>
      </c>
      <c r="C94" t="s">
        <v>6</v>
      </c>
      <c r="D94">
        <v>5</v>
      </c>
      <c r="E94">
        <v>691.12</v>
      </c>
      <c r="F94">
        <f t="shared" si="1"/>
        <v>3455.6</v>
      </c>
    </row>
    <row r="95" spans="1:6" x14ac:dyDescent="0.25">
      <c r="A95" s="3">
        <v>45768</v>
      </c>
      <c r="B95" t="s">
        <v>9</v>
      </c>
      <c r="C95" t="s">
        <v>6</v>
      </c>
      <c r="D95">
        <v>10</v>
      </c>
      <c r="E95">
        <v>2357.8200000000002</v>
      </c>
      <c r="F95">
        <f t="shared" si="1"/>
        <v>23578.2</v>
      </c>
    </row>
    <row r="96" spans="1:6" x14ac:dyDescent="0.25">
      <c r="A96" s="3">
        <v>45482</v>
      </c>
      <c r="B96" t="s">
        <v>9</v>
      </c>
      <c r="C96" t="s">
        <v>6</v>
      </c>
      <c r="D96">
        <v>10</v>
      </c>
      <c r="E96">
        <v>1111.04</v>
      </c>
      <c r="F96">
        <f t="shared" si="1"/>
        <v>11110.4</v>
      </c>
    </row>
    <row r="97" spans="1:6" x14ac:dyDescent="0.25">
      <c r="A97" s="3">
        <v>45693</v>
      </c>
      <c r="B97" t="s">
        <v>13</v>
      </c>
      <c r="C97" t="s">
        <v>14</v>
      </c>
      <c r="D97">
        <v>7</v>
      </c>
      <c r="E97">
        <v>1884.92</v>
      </c>
      <c r="F97">
        <f t="shared" si="1"/>
        <v>13194.44</v>
      </c>
    </row>
    <row r="98" spans="1:6" x14ac:dyDescent="0.25">
      <c r="A98" s="3">
        <v>45509</v>
      </c>
      <c r="B98" t="s">
        <v>10</v>
      </c>
      <c r="C98" t="s">
        <v>6</v>
      </c>
      <c r="D98">
        <v>10</v>
      </c>
      <c r="E98">
        <v>2566.7399999999998</v>
      </c>
      <c r="F98">
        <f t="shared" si="1"/>
        <v>25667.399999999998</v>
      </c>
    </row>
    <row r="99" spans="1:6" x14ac:dyDescent="0.25">
      <c r="A99" s="3">
        <v>45335</v>
      </c>
      <c r="B99" t="s">
        <v>9</v>
      </c>
      <c r="C99" t="s">
        <v>6</v>
      </c>
      <c r="D99">
        <v>5</v>
      </c>
      <c r="E99">
        <v>3482.93</v>
      </c>
      <c r="F99">
        <f t="shared" si="1"/>
        <v>17414.649999999998</v>
      </c>
    </row>
    <row r="100" spans="1:6" x14ac:dyDescent="0.25">
      <c r="A100" s="3">
        <v>45453</v>
      </c>
      <c r="B100" t="s">
        <v>12</v>
      </c>
      <c r="C100" t="s">
        <v>6</v>
      </c>
      <c r="D100">
        <v>3</v>
      </c>
      <c r="E100">
        <v>292.63</v>
      </c>
      <c r="F100">
        <f t="shared" si="1"/>
        <v>877.89</v>
      </c>
    </row>
    <row r="101" spans="1:6" x14ac:dyDescent="0.25">
      <c r="A101" s="3">
        <v>45493</v>
      </c>
      <c r="B101" t="s">
        <v>5</v>
      </c>
      <c r="C101" t="s">
        <v>6</v>
      </c>
      <c r="D101">
        <v>7</v>
      </c>
      <c r="E101">
        <v>4017.11</v>
      </c>
      <c r="F101">
        <f t="shared" si="1"/>
        <v>28119.77</v>
      </c>
    </row>
    <row r="102" spans="1:6" x14ac:dyDescent="0.25">
      <c r="A102" s="3">
        <v>45737</v>
      </c>
      <c r="B102" t="s">
        <v>11</v>
      </c>
      <c r="C102" t="s">
        <v>8</v>
      </c>
      <c r="D102">
        <v>2</v>
      </c>
      <c r="E102">
        <v>3176.71</v>
      </c>
      <c r="F102">
        <f t="shared" si="1"/>
        <v>6353.42</v>
      </c>
    </row>
    <row r="103" spans="1:6" x14ac:dyDescent="0.25">
      <c r="A103" s="3">
        <v>45775</v>
      </c>
      <c r="B103" t="s">
        <v>11</v>
      </c>
      <c r="C103" t="s">
        <v>8</v>
      </c>
      <c r="D103">
        <v>9</v>
      </c>
      <c r="E103">
        <v>500.62</v>
      </c>
      <c r="F103">
        <f t="shared" si="1"/>
        <v>4505.58</v>
      </c>
    </row>
    <row r="104" spans="1:6" x14ac:dyDescent="0.25">
      <c r="A104" s="3">
        <v>45561</v>
      </c>
      <c r="B104" t="s">
        <v>12</v>
      </c>
      <c r="C104" t="s">
        <v>6</v>
      </c>
      <c r="D104">
        <v>10</v>
      </c>
      <c r="E104">
        <v>4380.54</v>
      </c>
      <c r="F104">
        <f t="shared" si="1"/>
        <v>43805.4</v>
      </c>
    </row>
    <row r="105" spans="1:6" x14ac:dyDescent="0.25">
      <c r="A105" s="3">
        <v>45642</v>
      </c>
      <c r="B105" t="s">
        <v>16</v>
      </c>
      <c r="C105" t="s">
        <v>14</v>
      </c>
      <c r="D105">
        <v>10</v>
      </c>
      <c r="E105">
        <v>4612.2700000000004</v>
      </c>
      <c r="F105">
        <f t="shared" si="1"/>
        <v>46122.700000000004</v>
      </c>
    </row>
    <row r="106" spans="1:6" x14ac:dyDescent="0.25">
      <c r="A106" s="3">
        <v>45595</v>
      </c>
      <c r="B106" t="s">
        <v>18</v>
      </c>
      <c r="C106" t="s">
        <v>8</v>
      </c>
      <c r="D106">
        <v>1</v>
      </c>
      <c r="E106">
        <v>399.28</v>
      </c>
      <c r="F106">
        <f t="shared" si="1"/>
        <v>399.28</v>
      </c>
    </row>
    <row r="107" spans="1:6" x14ac:dyDescent="0.25">
      <c r="A107" s="3">
        <v>45562</v>
      </c>
      <c r="B107" t="s">
        <v>10</v>
      </c>
      <c r="C107" t="s">
        <v>6</v>
      </c>
      <c r="D107">
        <v>6</v>
      </c>
      <c r="E107">
        <v>1456.7</v>
      </c>
      <c r="F107">
        <f t="shared" si="1"/>
        <v>8740.2000000000007</v>
      </c>
    </row>
    <row r="108" spans="1:6" x14ac:dyDescent="0.25">
      <c r="A108" s="3">
        <v>45747</v>
      </c>
      <c r="B108" t="s">
        <v>11</v>
      </c>
      <c r="C108" t="s">
        <v>8</v>
      </c>
      <c r="D108">
        <v>7</v>
      </c>
      <c r="E108">
        <v>4050.39</v>
      </c>
      <c r="F108">
        <f t="shared" si="1"/>
        <v>28352.73</v>
      </c>
    </row>
    <row r="109" spans="1:6" x14ac:dyDescent="0.25">
      <c r="A109" s="3">
        <v>45753</v>
      </c>
      <c r="B109" t="s">
        <v>11</v>
      </c>
      <c r="C109" t="s">
        <v>8</v>
      </c>
      <c r="D109">
        <v>8</v>
      </c>
      <c r="E109">
        <v>3766.47</v>
      </c>
      <c r="F109">
        <f t="shared" si="1"/>
        <v>30131.759999999998</v>
      </c>
    </row>
    <row r="110" spans="1:6" x14ac:dyDescent="0.25">
      <c r="A110" s="3">
        <v>45506</v>
      </c>
      <c r="B110" t="s">
        <v>19</v>
      </c>
      <c r="C110" t="s">
        <v>14</v>
      </c>
      <c r="D110">
        <v>10</v>
      </c>
      <c r="E110">
        <v>1004.15</v>
      </c>
      <c r="F110">
        <f t="shared" si="1"/>
        <v>10041.5</v>
      </c>
    </row>
    <row r="111" spans="1:6" x14ac:dyDescent="0.25">
      <c r="A111" s="3">
        <v>45543</v>
      </c>
      <c r="B111" t="s">
        <v>5</v>
      </c>
      <c r="C111" t="s">
        <v>6</v>
      </c>
      <c r="D111">
        <v>9</v>
      </c>
      <c r="E111">
        <v>1125.81</v>
      </c>
      <c r="F111">
        <f t="shared" si="1"/>
        <v>10132.289999999999</v>
      </c>
    </row>
    <row r="112" spans="1:6" x14ac:dyDescent="0.25">
      <c r="A112" s="3">
        <v>45481</v>
      </c>
      <c r="B112" t="s">
        <v>12</v>
      </c>
      <c r="C112" t="s">
        <v>6</v>
      </c>
      <c r="D112">
        <v>2</v>
      </c>
      <c r="E112">
        <v>1915.31</v>
      </c>
      <c r="F112">
        <f t="shared" si="1"/>
        <v>3830.62</v>
      </c>
    </row>
    <row r="113" spans="1:6" x14ac:dyDescent="0.25">
      <c r="A113" s="3">
        <v>45587</v>
      </c>
      <c r="B113" t="s">
        <v>19</v>
      </c>
      <c r="C113" t="s">
        <v>14</v>
      </c>
      <c r="D113">
        <v>10</v>
      </c>
      <c r="E113">
        <v>2474.16</v>
      </c>
      <c r="F113">
        <f t="shared" si="1"/>
        <v>24741.599999999999</v>
      </c>
    </row>
    <row r="114" spans="1:6" x14ac:dyDescent="0.25">
      <c r="A114" s="3">
        <v>45504</v>
      </c>
      <c r="B114" t="s">
        <v>15</v>
      </c>
      <c r="C114" t="s">
        <v>14</v>
      </c>
      <c r="D114">
        <v>2</v>
      </c>
      <c r="E114">
        <v>3129.45</v>
      </c>
      <c r="F114">
        <f t="shared" si="1"/>
        <v>6258.9</v>
      </c>
    </row>
    <row r="115" spans="1:6" x14ac:dyDescent="0.25">
      <c r="A115" s="3">
        <v>45499</v>
      </c>
      <c r="B115" t="s">
        <v>12</v>
      </c>
      <c r="C115" t="s">
        <v>6</v>
      </c>
      <c r="D115">
        <v>5</v>
      </c>
      <c r="E115">
        <v>1907.68</v>
      </c>
      <c r="F115">
        <f t="shared" si="1"/>
        <v>9538.4</v>
      </c>
    </row>
    <row r="116" spans="1:6" x14ac:dyDescent="0.25">
      <c r="A116" s="3">
        <v>45528</v>
      </c>
      <c r="B116" t="s">
        <v>10</v>
      </c>
      <c r="C116" t="s">
        <v>6</v>
      </c>
      <c r="D116">
        <v>5</v>
      </c>
      <c r="E116">
        <v>2366.42</v>
      </c>
      <c r="F116">
        <f t="shared" si="1"/>
        <v>11832.1</v>
      </c>
    </row>
    <row r="117" spans="1:6" x14ac:dyDescent="0.25">
      <c r="A117" s="3">
        <v>45629</v>
      </c>
      <c r="B117" t="s">
        <v>13</v>
      </c>
      <c r="C117" t="s">
        <v>14</v>
      </c>
      <c r="D117">
        <v>6</v>
      </c>
      <c r="E117">
        <v>3762.61</v>
      </c>
      <c r="F117">
        <f t="shared" si="1"/>
        <v>22575.66</v>
      </c>
    </row>
    <row r="118" spans="1:6" x14ac:dyDescent="0.25">
      <c r="A118" s="3">
        <v>45658</v>
      </c>
      <c r="B118" t="s">
        <v>11</v>
      </c>
      <c r="C118" t="s">
        <v>8</v>
      </c>
      <c r="D118">
        <v>3</v>
      </c>
      <c r="E118">
        <v>279.75</v>
      </c>
      <c r="F118">
        <f t="shared" si="1"/>
        <v>839.25</v>
      </c>
    </row>
    <row r="119" spans="1:6" x14ac:dyDescent="0.25">
      <c r="A119" s="3">
        <v>45344</v>
      </c>
      <c r="B119" t="s">
        <v>18</v>
      </c>
      <c r="C119" t="s">
        <v>8</v>
      </c>
      <c r="D119">
        <v>8</v>
      </c>
      <c r="E119">
        <v>1336.94</v>
      </c>
      <c r="F119">
        <f t="shared" si="1"/>
        <v>10695.52</v>
      </c>
    </row>
    <row r="120" spans="1:6" x14ac:dyDescent="0.25">
      <c r="A120" s="3">
        <v>45571</v>
      </c>
      <c r="B120" t="s">
        <v>16</v>
      </c>
      <c r="C120" t="s">
        <v>14</v>
      </c>
      <c r="D120">
        <v>1</v>
      </c>
      <c r="E120">
        <v>3595.41</v>
      </c>
      <c r="F120">
        <f t="shared" si="1"/>
        <v>3595.41</v>
      </c>
    </row>
    <row r="121" spans="1:6" x14ac:dyDescent="0.25">
      <c r="A121" s="3">
        <v>45701</v>
      </c>
      <c r="B121" t="s">
        <v>11</v>
      </c>
      <c r="C121" t="s">
        <v>8</v>
      </c>
      <c r="D121">
        <v>6</v>
      </c>
      <c r="E121">
        <v>4486.51</v>
      </c>
      <c r="F121">
        <f t="shared" si="1"/>
        <v>26919.06</v>
      </c>
    </row>
    <row r="122" spans="1:6" x14ac:dyDescent="0.25">
      <c r="A122" s="3">
        <v>45508</v>
      </c>
      <c r="B122" t="s">
        <v>15</v>
      </c>
      <c r="C122" t="s">
        <v>14</v>
      </c>
      <c r="D122">
        <v>4</v>
      </c>
      <c r="E122">
        <v>2607.2199999999998</v>
      </c>
      <c r="F122">
        <f t="shared" si="1"/>
        <v>10428.879999999999</v>
      </c>
    </row>
    <row r="123" spans="1:6" x14ac:dyDescent="0.25">
      <c r="A123" s="3">
        <v>45543</v>
      </c>
      <c r="B123" t="s">
        <v>18</v>
      </c>
      <c r="C123" t="s">
        <v>8</v>
      </c>
      <c r="D123">
        <v>1</v>
      </c>
      <c r="E123">
        <v>2707.36</v>
      </c>
      <c r="F123">
        <f t="shared" si="1"/>
        <v>2707.36</v>
      </c>
    </row>
    <row r="124" spans="1:6" x14ac:dyDescent="0.25">
      <c r="A124" s="3">
        <v>45479</v>
      </c>
      <c r="B124" t="s">
        <v>17</v>
      </c>
      <c r="C124" t="s">
        <v>8</v>
      </c>
      <c r="D124">
        <v>7</v>
      </c>
      <c r="E124">
        <v>625.14</v>
      </c>
      <c r="F124">
        <f t="shared" si="1"/>
        <v>4375.9799999999996</v>
      </c>
    </row>
    <row r="125" spans="1:6" x14ac:dyDescent="0.25">
      <c r="A125" s="3">
        <v>45671</v>
      </c>
      <c r="B125" t="s">
        <v>5</v>
      </c>
      <c r="C125" t="s">
        <v>6</v>
      </c>
      <c r="D125">
        <v>9</v>
      </c>
      <c r="E125">
        <v>2292.3200000000002</v>
      </c>
      <c r="F125">
        <f t="shared" si="1"/>
        <v>20630.88</v>
      </c>
    </row>
    <row r="126" spans="1:6" x14ac:dyDescent="0.25">
      <c r="A126" s="3">
        <v>45784</v>
      </c>
      <c r="B126" t="s">
        <v>12</v>
      </c>
      <c r="C126" t="s">
        <v>6</v>
      </c>
      <c r="D126">
        <v>4</v>
      </c>
      <c r="E126">
        <v>2709.82</v>
      </c>
      <c r="F126">
        <f t="shared" si="1"/>
        <v>10839.28</v>
      </c>
    </row>
    <row r="127" spans="1:6" x14ac:dyDescent="0.25">
      <c r="A127" s="3">
        <v>45332</v>
      </c>
      <c r="B127" t="s">
        <v>7</v>
      </c>
      <c r="C127" t="s">
        <v>8</v>
      </c>
      <c r="D127">
        <v>4</v>
      </c>
      <c r="E127">
        <v>1288.1099999999999</v>
      </c>
      <c r="F127">
        <f t="shared" si="1"/>
        <v>5152.4399999999996</v>
      </c>
    </row>
    <row r="128" spans="1:6" x14ac:dyDescent="0.25">
      <c r="A128" s="3">
        <v>45448</v>
      </c>
      <c r="B128" t="s">
        <v>17</v>
      </c>
      <c r="C128" t="s">
        <v>8</v>
      </c>
      <c r="D128">
        <v>6</v>
      </c>
      <c r="E128">
        <v>1419.29</v>
      </c>
      <c r="F128">
        <f t="shared" si="1"/>
        <v>8515.74</v>
      </c>
    </row>
    <row r="129" spans="1:6" x14ac:dyDescent="0.25">
      <c r="A129" s="3">
        <v>45306</v>
      </c>
      <c r="B129" t="s">
        <v>10</v>
      </c>
      <c r="C129" t="s">
        <v>6</v>
      </c>
      <c r="D129">
        <v>3</v>
      </c>
      <c r="E129">
        <v>1948.69</v>
      </c>
      <c r="F129">
        <f t="shared" si="1"/>
        <v>5846.07</v>
      </c>
    </row>
    <row r="130" spans="1:6" x14ac:dyDescent="0.25">
      <c r="A130" s="3">
        <v>45592</v>
      </c>
      <c r="B130" t="s">
        <v>10</v>
      </c>
      <c r="C130" t="s">
        <v>6</v>
      </c>
      <c r="D130">
        <v>6</v>
      </c>
      <c r="E130">
        <v>198.35</v>
      </c>
      <c r="F130">
        <f t="shared" si="1"/>
        <v>1190.0999999999999</v>
      </c>
    </row>
    <row r="131" spans="1:6" x14ac:dyDescent="0.25">
      <c r="A131" s="3">
        <v>45356</v>
      </c>
      <c r="B131" t="s">
        <v>5</v>
      </c>
      <c r="C131" t="s">
        <v>6</v>
      </c>
      <c r="D131">
        <v>7</v>
      </c>
      <c r="E131">
        <v>1678.19</v>
      </c>
      <c r="F131">
        <f t="shared" ref="F131:F194" si="2">PRODUCT(D131,E131)</f>
        <v>11747.33</v>
      </c>
    </row>
    <row r="132" spans="1:6" x14ac:dyDescent="0.25">
      <c r="A132" s="3">
        <v>45636</v>
      </c>
      <c r="B132" t="s">
        <v>19</v>
      </c>
      <c r="C132" t="s">
        <v>14</v>
      </c>
      <c r="D132">
        <v>10</v>
      </c>
      <c r="E132">
        <v>1136.0999999999999</v>
      </c>
      <c r="F132">
        <f t="shared" si="2"/>
        <v>11361</v>
      </c>
    </row>
    <row r="133" spans="1:6" x14ac:dyDescent="0.25">
      <c r="A133" s="3">
        <v>45618</v>
      </c>
      <c r="B133" t="s">
        <v>7</v>
      </c>
      <c r="C133" t="s">
        <v>8</v>
      </c>
      <c r="D133">
        <v>10</v>
      </c>
      <c r="E133">
        <v>1704.74</v>
      </c>
      <c r="F133">
        <f t="shared" si="2"/>
        <v>17047.400000000001</v>
      </c>
    </row>
    <row r="134" spans="1:6" x14ac:dyDescent="0.25">
      <c r="A134" s="3">
        <v>45300</v>
      </c>
      <c r="B134" t="s">
        <v>5</v>
      </c>
      <c r="C134" t="s">
        <v>6</v>
      </c>
      <c r="D134">
        <v>3</v>
      </c>
      <c r="E134">
        <v>686.83</v>
      </c>
      <c r="F134">
        <f t="shared" si="2"/>
        <v>2060.4900000000002</v>
      </c>
    </row>
    <row r="135" spans="1:6" x14ac:dyDescent="0.25">
      <c r="A135" s="3">
        <v>45635</v>
      </c>
      <c r="B135" t="s">
        <v>17</v>
      </c>
      <c r="C135" t="s">
        <v>8</v>
      </c>
      <c r="D135">
        <v>7</v>
      </c>
      <c r="E135">
        <v>4463.58</v>
      </c>
      <c r="F135">
        <f t="shared" si="2"/>
        <v>31245.059999999998</v>
      </c>
    </row>
    <row r="136" spans="1:6" x14ac:dyDescent="0.25">
      <c r="A136" s="3">
        <v>45420</v>
      </c>
      <c r="B136" t="s">
        <v>15</v>
      </c>
      <c r="C136" t="s">
        <v>14</v>
      </c>
      <c r="D136">
        <v>3</v>
      </c>
      <c r="E136">
        <v>3008.6</v>
      </c>
      <c r="F136">
        <f t="shared" si="2"/>
        <v>9025.7999999999993</v>
      </c>
    </row>
    <row r="137" spans="1:6" x14ac:dyDescent="0.25">
      <c r="A137" s="3">
        <v>45783</v>
      </c>
      <c r="B137" t="s">
        <v>13</v>
      </c>
      <c r="C137" t="s">
        <v>14</v>
      </c>
      <c r="D137">
        <v>2</v>
      </c>
      <c r="E137">
        <v>3427.6</v>
      </c>
      <c r="F137">
        <f t="shared" si="2"/>
        <v>6855.2</v>
      </c>
    </row>
    <row r="138" spans="1:6" x14ac:dyDescent="0.25">
      <c r="A138" s="3">
        <v>45427</v>
      </c>
      <c r="B138" t="s">
        <v>10</v>
      </c>
      <c r="C138" t="s">
        <v>6</v>
      </c>
      <c r="D138">
        <v>10</v>
      </c>
      <c r="E138">
        <v>3966.94</v>
      </c>
      <c r="F138">
        <f t="shared" si="2"/>
        <v>39669.4</v>
      </c>
    </row>
    <row r="139" spans="1:6" x14ac:dyDescent="0.25">
      <c r="A139" s="3">
        <v>45763</v>
      </c>
      <c r="B139" t="s">
        <v>15</v>
      </c>
      <c r="C139" t="s">
        <v>14</v>
      </c>
      <c r="D139">
        <v>4</v>
      </c>
      <c r="E139">
        <v>2542.37</v>
      </c>
      <c r="F139">
        <f t="shared" si="2"/>
        <v>10169.48</v>
      </c>
    </row>
    <row r="140" spans="1:6" x14ac:dyDescent="0.25">
      <c r="A140" s="3">
        <v>45354</v>
      </c>
      <c r="B140" t="s">
        <v>11</v>
      </c>
      <c r="C140" t="s">
        <v>8</v>
      </c>
      <c r="D140">
        <v>8</v>
      </c>
      <c r="E140">
        <v>525.91</v>
      </c>
      <c r="F140">
        <f t="shared" si="2"/>
        <v>4207.28</v>
      </c>
    </row>
    <row r="141" spans="1:6" x14ac:dyDescent="0.25">
      <c r="A141" s="3">
        <v>45430</v>
      </c>
      <c r="B141" t="s">
        <v>12</v>
      </c>
      <c r="C141" t="s">
        <v>6</v>
      </c>
      <c r="D141">
        <v>9</v>
      </c>
      <c r="E141">
        <v>2731.82</v>
      </c>
      <c r="F141">
        <f t="shared" si="2"/>
        <v>24586.38</v>
      </c>
    </row>
    <row r="142" spans="1:6" x14ac:dyDescent="0.25">
      <c r="A142" s="3">
        <v>45790</v>
      </c>
      <c r="B142" t="s">
        <v>17</v>
      </c>
      <c r="C142" t="s">
        <v>8</v>
      </c>
      <c r="D142">
        <v>7</v>
      </c>
      <c r="E142">
        <v>2975.52</v>
      </c>
      <c r="F142">
        <f t="shared" si="2"/>
        <v>20828.64</v>
      </c>
    </row>
    <row r="143" spans="1:6" x14ac:dyDescent="0.25">
      <c r="A143" s="3">
        <v>45372</v>
      </c>
      <c r="B143" t="s">
        <v>11</v>
      </c>
      <c r="C143" t="s">
        <v>8</v>
      </c>
      <c r="D143">
        <v>1</v>
      </c>
      <c r="E143">
        <v>3752.65</v>
      </c>
      <c r="F143">
        <f t="shared" si="2"/>
        <v>3752.65</v>
      </c>
    </row>
    <row r="144" spans="1:6" x14ac:dyDescent="0.25">
      <c r="A144" s="3">
        <v>45683</v>
      </c>
      <c r="B144" t="s">
        <v>13</v>
      </c>
      <c r="C144" t="s">
        <v>14</v>
      </c>
      <c r="D144">
        <v>3</v>
      </c>
      <c r="E144">
        <v>2215.13</v>
      </c>
      <c r="F144">
        <f t="shared" si="2"/>
        <v>6645.39</v>
      </c>
    </row>
    <row r="145" spans="1:6" x14ac:dyDescent="0.25">
      <c r="A145" s="3">
        <v>45454</v>
      </c>
      <c r="B145" t="s">
        <v>19</v>
      </c>
      <c r="C145" t="s">
        <v>14</v>
      </c>
      <c r="D145">
        <v>9</v>
      </c>
      <c r="E145">
        <v>725.14</v>
      </c>
      <c r="F145">
        <f t="shared" si="2"/>
        <v>6526.26</v>
      </c>
    </row>
    <row r="146" spans="1:6" x14ac:dyDescent="0.25">
      <c r="A146" s="3">
        <v>45710</v>
      </c>
      <c r="B146" t="s">
        <v>13</v>
      </c>
      <c r="C146" t="s">
        <v>14</v>
      </c>
      <c r="D146">
        <v>1</v>
      </c>
      <c r="E146">
        <v>1490.5</v>
      </c>
      <c r="F146">
        <f t="shared" si="2"/>
        <v>1490.5</v>
      </c>
    </row>
    <row r="147" spans="1:6" x14ac:dyDescent="0.25">
      <c r="A147" s="3">
        <v>45580</v>
      </c>
      <c r="B147" t="s">
        <v>13</v>
      </c>
      <c r="C147" t="s">
        <v>14</v>
      </c>
      <c r="D147">
        <v>9</v>
      </c>
      <c r="E147">
        <v>1879.1</v>
      </c>
      <c r="F147">
        <f t="shared" si="2"/>
        <v>16911.899999999998</v>
      </c>
    </row>
    <row r="148" spans="1:6" x14ac:dyDescent="0.25">
      <c r="A148" s="3">
        <v>45670</v>
      </c>
      <c r="B148" t="s">
        <v>13</v>
      </c>
      <c r="C148" t="s">
        <v>14</v>
      </c>
      <c r="D148">
        <v>8</v>
      </c>
      <c r="E148">
        <v>3264.99</v>
      </c>
      <c r="F148">
        <f t="shared" si="2"/>
        <v>26119.919999999998</v>
      </c>
    </row>
    <row r="149" spans="1:6" x14ac:dyDescent="0.25">
      <c r="A149" s="3">
        <v>45552</v>
      </c>
      <c r="B149" t="s">
        <v>9</v>
      </c>
      <c r="C149" t="s">
        <v>6</v>
      </c>
      <c r="D149">
        <v>1</v>
      </c>
      <c r="E149">
        <v>2896.81</v>
      </c>
      <c r="F149">
        <f t="shared" si="2"/>
        <v>2896.81</v>
      </c>
    </row>
    <row r="150" spans="1:6" x14ac:dyDescent="0.25">
      <c r="A150" s="3">
        <v>45781</v>
      </c>
      <c r="B150" t="s">
        <v>7</v>
      </c>
      <c r="C150" t="s">
        <v>8</v>
      </c>
      <c r="D150">
        <v>6</v>
      </c>
      <c r="E150">
        <v>1844.87</v>
      </c>
      <c r="F150">
        <f t="shared" si="2"/>
        <v>11069.22</v>
      </c>
    </row>
    <row r="151" spans="1:6" x14ac:dyDescent="0.25">
      <c r="A151" s="3">
        <v>45522</v>
      </c>
      <c r="B151" t="s">
        <v>18</v>
      </c>
      <c r="C151" t="s">
        <v>8</v>
      </c>
      <c r="D151">
        <v>5</v>
      </c>
      <c r="E151">
        <v>4933.92</v>
      </c>
      <c r="F151">
        <f t="shared" si="2"/>
        <v>24669.599999999999</v>
      </c>
    </row>
    <row r="152" spans="1:6" x14ac:dyDescent="0.25">
      <c r="A152" s="3">
        <v>45332</v>
      </c>
      <c r="B152" t="s">
        <v>11</v>
      </c>
      <c r="C152" t="s">
        <v>8</v>
      </c>
      <c r="D152">
        <v>6</v>
      </c>
      <c r="E152">
        <v>3068.3</v>
      </c>
      <c r="F152">
        <f t="shared" si="2"/>
        <v>18409.800000000003</v>
      </c>
    </row>
    <row r="153" spans="1:6" x14ac:dyDescent="0.25">
      <c r="A153" s="3">
        <v>45319</v>
      </c>
      <c r="B153" t="s">
        <v>18</v>
      </c>
      <c r="C153" t="s">
        <v>8</v>
      </c>
      <c r="D153">
        <v>10</v>
      </c>
      <c r="E153">
        <v>1262.4100000000001</v>
      </c>
      <c r="F153">
        <f t="shared" si="2"/>
        <v>12624.1</v>
      </c>
    </row>
    <row r="154" spans="1:6" x14ac:dyDescent="0.25">
      <c r="A154" s="3">
        <v>45426</v>
      </c>
      <c r="B154" t="s">
        <v>13</v>
      </c>
      <c r="C154" t="s">
        <v>14</v>
      </c>
      <c r="D154">
        <v>5</v>
      </c>
      <c r="E154">
        <v>598.73</v>
      </c>
      <c r="F154">
        <f t="shared" si="2"/>
        <v>2993.65</v>
      </c>
    </row>
    <row r="155" spans="1:6" x14ac:dyDescent="0.25">
      <c r="A155" s="3">
        <v>45492</v>
      </c>
      <c r="B155" t="s">
        <v>17</v>
      </c>
      <c r="C155" t="s">
        <v>8</v>
      </c>
      <c r="D155">
        <v>6</v>
      </c>
      <c r="E155">
        <v>849.01</v>
      </c>
      <c r="F155">
        <f t="shared" si="2"/>
        <v>5094.0599999999995</v>
      </c>
    </row>
    <row r="156" spans="1:6" x14ac:dyDescent="0.25">
      <c r="A156" s="3">
        <v>45619</v>
      </c>
      <c r="B156" t="s">
        <v>5</v>
      </c>
      <c r="C156" t="s">
        <v>6</v>
      </c>
      <c r="D156">
        <v>5</v>
      </c>
      <c r="E156">
        <v>1305.19</v>
      </c>
      <c r="F156">
        <f t="shared" si="2"/>
        <v>6525.9500000000007</v>
      </c>
    </row>
    <row r="157" spans="1:6" x14ac:dyDescent="0.25">
      <c r="A157" s="3">
        <v>45559</v>
      </c>
      <c r="B157" t="s">
        <v>10</v>
      </c>
      <c r="C157" t="s">
        <v>6</v>
      </c>
      <c r="D157">
        <v>5</v>
      </c>
      <c r="E157">
        <v>887.34</v>
      </c>
      <c r="F157">
        <f t="shared" si="2"/>
        <v>4436.7</v>
      </c>
    </row>
    <row r="158" spans="1:6" x14ac:dyDescent="0.25">
      <c r="A158" s="3">
        <v>45709</v>
      </c>
      <c r="B158" t="s">
        <v>18</v>
      </c>
      <c r="C158" t="s">
        <v>8</v>
      </c>
      <c r="D158">
        <v>4</v>
      </c>
      <c r="E158">
        <v>1014.18</v>
      </c>
      <c r="F158">
        <f t="shared" si="2"/>
        <v>4056.72</v>
      </c>
    </row>
    <row r="159" spans="1:6" x14ac:dyDescent="0.25">
      <c r="A159" s="3">
        <v>45324</v>
      </c>
      <c r="B159" t="s">
        <v>11</v>
      </c>
      <c r="C159" t="s">
        <v>8</v>
      </c>
      <c r="D159">
        <v>3</v>
      </c>
      <c r="E159">
        <v>1496.97</v>
      </c>
      <c r="F159">
        <f t="shared" si="2"/>
        <v>4490.91</v>
      </c>
    </row>
    <row r="160" spans="1:6" x14ac:dyDescent="0.25">
      <c r="A160" s="3">
        <v>45339</v>
      </c>
      <c r="B160" t="s">
        <v>12</v>
      </c>
      <c r="C160" t="s">
        <v>6</v>
      </c>
      <c r="D160">
        <v>3</v>
      </c>
      <c r="E160">
        <v>949.53</v>
      </c>
      <c r="F160">
        <f t="shared" si="2"/>
        <v>2848.59</v>
      </c>
    </row>
    <row r="161" spans="1:6" x14ac:dyDescent="0.25">
      <c r="A161" s="3">
        <v>45698</v>
      </c>
      <c r="B161" t="s">
        <v>9</v>
      </c>
      <c r="C161" t="s">
        <v>6</v>
      </c>
      <c r="D161">
        <v>4</v>
      </c>
      <c r="E161">
        <v>4494.1499999999996</v>
      </c>
      <c r="F161">
        <f t="shared" si="2"/>
        <v>17976.599999999999</v>
      </c>
    </row>
    <row r="162" spans="1:6" x14ac:dyDescent="0.25">
      <c r="A162" s="3">
        <v>45353</v>
      </c>
      <c r="B162" t="s">
        <v>16</v>
      </c>
      <c r="C162" t="s">
        <v>14</v>
      </c>
      <c r="D162">
        <v>9</v>
      </c>
      <c r="E162">
        <v>493.15</v>
      </c>
      <c r="F162">
        <f t="shared" si="2"/>
        <v>4438.3499999999995</v>
      </c>
    </row>
    <row r="163" spans="1:6" x14ac:dyDescent="0.25">
      <c r="A163" s="3">
        <v>45507</v>
      </c>
      <c r="B163" t="s">
        <v>5</v>
      </c>
      <c r="C163" t="s">
        <v>6</v>
      </c>
      <c r="D163">
        <v>2</v>
      </c>
      <c r="E163">
        <v>2670.11</v>
      </c>
      <c r="F163">
        <f t="shared" si="2"/>
        <v>5340.22</v>
      </c>
    </row>
    <row r="164" spans="1:6" x14ac:dyDescent="0.25">
      <c r="A164" s="3">
        <v>45584</v>
      </c>
      <c r="B164" t="s">
        <v>15</v>
      </c>
      <c r="C164" t="s">
        <v>14</v>
      </c>
      <c r="D164">
        <v>9</v>
      </c>
      <c r="E164">
        <v>2110.94</v>
      </c>
      <c r="F164">
        <f t="shared" si="2"/>
        <v>18998.46</v>
      </c>
    </row>
    <row r="165" spans="1:6" x14ac:dyDescent="0.25">
      <c r="A165" s="3">
        <v>45390</v>
      </c>
      <c r="B165" t="s">
        <v>13</v>
      </c>
      <c r="C165" t="s">
        <v>14</v>
      </c>
      <c r="D165">
        <v>1</v>
      </c>
      <c r="E165">
        <v>4913.66</v>
      </c>
      <c r="F165">
        <f t="shared" si="2"/>
        <v>4913.66</v>
      </c>
    </row>
    <row r="166" spans="1:6" x14ac:dyDescent="0.25">
      <c r="A166" s="3">
        <v>45463</v>
      </c>
      <c r="B166" t="s">
        <v>13</v>
      </c>
      <c r="C166" t="s">
        <v>14</v>
      </c>
      <c r="D166">
        <v>1</v>
      </c>
      <c r="E166">
        <v>648.99</v>
      </c>
      <c r="F166">
        <f t="shared" si="2"/>
        <v>648.99</v>
      </c>
    </row>
    <row r="167" spans="1:6" x14ac:dyDescent="0.25">
      <c r="A167" s="3">
        <v>45651</v>
      </c>
      <c r="B167" t="s">
        <v>15</v>
      </c>
      <c r="C167" t="s">
        <v>14</v>
      </c>
      <c r="D167">
        <v>5</v>
      </c>
      <c r="E167">
        <v>2049.4899999999998</v>
      </c>
      <c r="F167">
        <f t="shared" si="2"/>
        <v>10247.449999999999</v>
      </c>
    </row>
    <row r="168" spans="1:6" x14ac:dyDescent="0.25">
      <c r="A168" s="3">
        <v>45505</v>
      </c>
      <c r="B168" t="s">
        <v>19</v>
      </c>
      <c r="C168" t="s">
        <v>14</v>
      </c>
      <c r="D168">
        <v>6</v>
      </c>
      <c r="E168">
        <v>4850.41</v>
      </c>
      <c r="F168">
        <f t="shared" si="2"/>
        <v>29102.46</v>
      </c>
    </row>
    <row r="169" spans="1:6" x14ac:dyDescent="0.25">
      <c r="A169" s="3">
        <v>45766</v>
      </c>
      <c r="B169" t="s">
        <v>7</v>
      </c>
      <c r="C169" t="s">
        <v>8</v>
      </c>
      <c r="D169">
        <v>6</v>
      </c>
      <c r="E169">
        <v>4340.9799999999996</v>
      </c>
      <c r="F169">
        <f t="shared" si="2"/>
        <v>26045.879999999997</v>
      </c>
    </row>
    <row r="170" spans="1:6" x14ac:dyDescent="0.25">
      <c r="A170" s="3">
        <v>45326</v>
      </c>
      <c r="B170" t="s">
        <v>10</v>
      </c>
      <c r="C170" t="s">
        <v>6</v>
      </c>
      <c r="D170">
        <v>3</v>
      </c>
      <c r="E170">
        <v>4103.6499999999996</v>
      </c>
      <c r="F170">
        <f t="shared" si="2"/>
        <v>12310.949999999999</v>
      </c>
    </row>
    <row r="171" spans="1:6" x14ac:dyDescent="0.25">
      <c r="A171" s="3">
        <v>45740</v>
      </c>
      <c r="B171" t="s">
        <v>13</v>
      </c>
      <c r="C171" t="s">
        <v>14</v>
      </c>
      <c r="D171">
        <v>7</v>
      </c>
      <c r="E171">
        <v>1363.72</v>
      </c>
      <c r="F171">
        <f t="shared" si="2"/>
        <v>9546.0400000000009</v>
      </c>
    </row>
    <row r="172" spans="1:6" x14ac:dyDescent="0.25">
      <c r="A172" s="3">
        <v>45518</v>
      </c>
      <c r="B172" t="s">
        <v>12</v>
      </c>
      <c r="C172" t="s">
        <v>6</v>
      </c>
      <c r="D172">
        <v>9</v>
      </c>
      <c r="E172">
        <v>937.35</v>
      </c>
      <c r="F172">
        <f t="shared" si="2"/>
        <v>8436.15</v>
      </c>
    </row>
    <row r="173" spans="1:6" x14ac:dyDescent="0.25">
      <c r="A173" s="3">
        <v>45392</v>
      </c>
      <c r="B173" t="s">
        <v>12</v>
      </c>
      <c r="C173" t="s">
        <v>6</v>
      </c>
      <c r="D173">
        <v>10</v>
      </c>
      <c r="E173">
        <v>3376.35</v>
      </c>
      <c r="F173">
        <f t="shared" si="2"/>
        <v>33763.5</v>
      </c>
    </row>
    <row r="174" spans="1:6" x14ac:dyDescent="0.25">
      <c r="A174" s="3">
        <v>45722</v>
      </c>
      <c r="B174" t="s">
        <v>15</v>
      </c>
      <c r="C174" t="s">
        <v>14</v>
      </c>
      <c r="D174">
        <v>8</v>
      </c>
      <c r="E174">
        <v>4653.9399999999996</v>
      </c>
      <c r="F174">
        <f t="shared" si="2"/>
        <v>37231.519999999997</v>
      </c>
    </row>
    <row r="175" spans="1:6" x14ac:dyDescent="0.25">
      <c r="A175" s="3">
        <v>45753</v>
      </c>
      <c r="B175" t="s">
        <v>11</v>
      </c>
      <c r="C175" t="s">
        <v>8</v>
      </c>
      <c r="D175">
        <v>6</v>
      </c>
      <c r="E175">
        <v>2828.14</v>
      </c>
      <c r="F175">
        <f t="shared" si="2"/>
        <v>16968.84</v>
      </c>
    </row>
    <row r="176" spans="1:6" x14ac:dyDescent="0.25">
      <c r="A176" s="3">
        <v>45422</v>
      </c>
      <c r="B176" t="s">
        <v>13</v>
      </c>
      <c r="C176" t="s">
        <v>14</v>
      </c>
      <c r="D176">
        <v>8</v>
      </c>
      <c r="E176">
        <v>2900.9</v>
      </c>
      <c r="F176">
        <f t="shared" si="2"/>
        <v>23207.200000000001</v>
      </c>
    </row>
    <row r="177" spans="1:6" x14ac:dyDescent="0.25">
      <c r="A177" s="3">
        <v>45548</v>
      </c>
      <c r="B177" t="s">
        <v>11</v>
      </c>
      <c r="C177" t="s">
        <v>8</v>
      </c>
      <c r="D177">
        <v>5</v>
      </c>
      <c r="E177">
        <v>1471.9</v>
      </c>
      <c r="F177">
        <f t="shared" si="2"/>
        <v>7359.5</v>
      </c>
    </row>
    <row r="178" spans="1:6" x14ac:dyDescent="0.25">
      <c r="A178" s="3">
        <v>45296</v>
      </c>
      <c r="B178" t="s">
        <v>9</v>
      </c>
      <c r="C178" t="s">
        <v>6</v>
      </c>
      <c r="D178">
        <v>8</v>
      </c>
      <c r="E178">
        <v>3870.52</v>
      </c>
      <c r="F178">
        <f t="shared" si="2"/>
        <v>30964.16</v>
      </c>
    </row>
    <row r="179" spans="1:6" x14ac:dyDescent="0.25">
      <c r="A179" s="3">
        <v>45509</v>
      </c>
      <c r="B179" t="s">
        <v>17</v>
      </c>
      <c r="C179" t="s">
        <v>8</v>
      </c>
      <c r="D179">
        <v>10</v>
      </c>
      <c r="E179">
        <v>1016.51</v>
      </c>
      <c r="F179">
        <f t="shared" si="2"/>
        <v>10165.1</v>
      </c>
    </row>
    <row r="180" spans="1:6" x14ac:dyDescent="0.25">
      <c r="A180" s="3">
        <v>45546</v>
      </c>
      <c r="B180" t="s">
        <v>17</v>
      </c>
      <c r="C180" t="s">
        <v>8</v>
      </c>
      <c r="D180">
        <v>4</v>
      </c>
      <c r="E180">
        <v>1686.03</v>
      </c>
      <c r="F180">
        <f t="shared" si="2"/>
        <v>6744.12</v>
      </c>
    </row>
    <row r="181" spans="1:6" x14ac:dyDescent="0.25">
      <c r="A181" s="3">
        <v>45689</v>
      </c>
      <c r="B181" t="s">
        <v>11</v>
      </c>
      <c r="C181" t="s">
        <v>8</v>
      </c>
      <c r="D181">
        <v>10</v>
      </c>
      <c r="E181">
        <v>2184.64</v>
      </c>
      <c r="F181">
        <f t="shared" si="2"/>
        <v>21846.399999999998</v>
      </c>
    </row>
    <row r="182" spans="1:6" x14ac:dyDescent="0.25">
      <c r="A182" s="3">
        <v>45650</v>
      </c>
      <c r="B182" t="s">
        <v>5</v>
      </c>
      <c r="C182" t="s">
        <v>6</v>
      </c>
      <c r="D182">
        <v>8</v>
      </c>
      <c r="E182">
        <v>2587.29</v>
      </c>
      <c r="F182">
        <f t="shared" si="2"/>
        <v>20698.32</v>
      </c>
    </row>
    <row r="183" spans="1:6" x14ac:dyDescent="0.25">
      <c r="A183" s="3">
        <v>45574</v>
      </c>
      <c r="B183" t="s">
        <v>10</v>
      </c>
      <c r="C183" t="s">
        <v>6</v>
      </c>
      <c r="D183">
        <v>10</v>
      </c>
      <c r="E183">
        <v>1287.81</v>
      </c>
      <c r="F183">
        <f t="shared" si="2"/>
        <v>12878.099999999999</v>
      </c>
    </row>
    <row r="184" spans="1:6" x14ac:dyDescent="0.25">
      <c r="A184" s="3">
        <v>45684</v>
      </c>
      <c r="B184" t="s">
        <v>11</v>
      </c>
      <c r="C184" t="s">
        <v>8</v>
      </c>
      <c r="D184">
        <v>2</v>
      </c>
      <c r="E184">
        <v>662.7</v>
      </c>
      <c r="F184">
        <f t="shared" si="2"/>
        <v>1325.4</v>
      </c>
    </row>
    <row r="185" spans="1:6" x14ac:dyDescent="0.25">
      <c r="A185" s="3">
        <v>45498</v>
      </c>
      <c r="B185" t="s">
        <v>7</v>
      </c>
      <c r="C185" t="s">
        <v>8</v>
      </c>
      <c r="D185">
        <v>5</v>
      </c>
      <c r="E185">
        <v>3092.04</v>
      </c>
      <c r="F185">
        <f t="shared" si="2"/>
        <v>15460.2</v>
      </c>
    </row>
    <row r="186" spans="1:6" x14ac:dyDescent="0.25">
      <c r="A186" s="3">
        <v>45306</v>
      </c>
      <c r="B186" t="s">
        <v>15</v>
      </c>
      <c r="C186" t="s">
        <v>14</v>
      </c>
      <c r="D186">
        <v>9</v>
      </c>
      <c r="E186">
        <v>1514.29</v>
      </c>
      <c r="F186">
        <f t="shared" si="2"/>
        <v>13628.61</v>
      </c>
    </row>
    <row r="187" spans="1:6" x14ac:dyDescent="0.25">
      <c r="A187" s="3">
        <v>45637</v>
      </c>
      <c r="B187" t="s">
        <v>17</v>
      </c>
      <c r="C187" t="s">
        <v>8</v>
      </c>
      <c r="D187">
        <v>4</v>
      </c>
      <c r="E187">
        <v>2948.07</v>
      </c>
      <c r="F187">
        <f t="shared" si="2"/>
        <v>11792.28</v>
      </c>
    </row>
    <row r="188" spans="1:6" x14ac:dyDescent="0.25">
      <c r="A188" s="3">
        <v>45333</v>
      </c>
      <c r="B188" t="s">
        <v>13</v>
      </c>
      <c r="C188" t="s">
        <v>14</v>
      </c>
      <c r="D188">
        <v>6</v>
      </c>
      <c r="E188">
        <v>856.38</v>
      </c>
      <c r="F188">
        <f t="shared" si="2"/>
        <v>5138.28</v>
      </c>
    </row>
    <row r="189" spans="1:6" x14ac:dyDescent="0.25">
      <c r="A189" s="3">
        <v>45671</v>
      </c>
      <c r="B189" t="s">
        <v>18</v>
      </c>
      <c r="C189" t="s">
        <v>8</v>
      </c>
      <c r="D189">
        <v>1</v>
      </c>
      <c r="E189">
        <v>2457.59</v>
      </c>
      <c r="F189">
        <f t="shared" si="2"/>
        <v>2457.59</v>
      </c>
    </row>
    <row r="190" spans="1:6" x14ac:dyDescent="0.25">
      <c r="A190" s="3">
        <v>45752</v>
      </c>
      <c r="B190" t="s">
        <v>15</v>
      </c>
      <c r="C190" t="s">
        <v>14</v>
      </c>
      <c r="D190">
        <v>9</v>
      </c>
      <c r="E190">
        <v>2709.69</v>
      </c>
      <c r="F190">
        <f t="shared" si="2"/>
        <v>24387.21</v>
      </c>
    </row>
    <row r="191" spans="1:6" x14ac:dyDescent="0.25">
      <c r="A191" s="3">
        <v>45470</v>
      </c>
      <c r="B191" t="s">
        <v>12</v>
      </c>
      <c r="C191" t="s">
        <v>6</v>
      </c>
      <c r="D191">
        <v>1</v>
      </c>
      <c r="E191">
        <v>353.94</v>
      </c>
      <c r="F191">
        <f t="shared" si="2"/>
        <v>353.94</v>
      </c>
    </row>
    <row r="192" spans="1:6" x14ac:dyDescent="0.25">
      <c r="A192" s="3">
        <v>45354</v>
      </c>
      <c r="B192" t="s">
        <v>17</v>
      </c>
      <c r="C192" t="s">
        <v>8</v>
      </c>
      <c r="D192">
        <v>5</v>
      </c>
      <c r="E192">
        <v>1749.36</v>
      </c>
      <c r="F192">
        <f t="shared" si="2"/>
        <v>8746.7999999999993</v>
      </c>
    </row>
    <row r="193" spans="1:6" x14ac:dyDescent="0.25">
      <c r="A193" s="3">
        <v>45643</v>
      </c>
      <c r="B193" t="s">
        <v>7</v>
      </c>
      <c r="C193" t="s">
        <v>8</v>
      </c>
      <c r="D193">
        <v>4</v>
      </c>
      <c r="E193">
        <v>758.63</v>
      </c>
      <c r="F193">
        <f t="shared" si="2"/>
        <v>3034.52</v>
      </c>
    </row>
    <row r="194" spans="1:6" x14ac:dyDescent="0.25">
      <c r="A194" s="3">
        <v>45522</v>
      </c>
      <c r="B194" t="s">
        <v>11</v>
      </c>
      <c r="C194" t="s">
        <v>8</v>
      </c>
      <c r="D194">
        <v>3</v>
      </c>
      <c r="E194">
        <v>410.54</v>
      </c>
      <c r="F194">
        <f t="shared" si="2"/>
        <v>1231.6200000000001</v>
      </c>
    </row>
    <row r="195" spans="1:6" x14ac:dyDescent="0.25">
      <c r="A195" s="3">
        <v>45532</v>
      </c>
      <c r="B195" t="s">
        <v>17</v>
      </c>
      <c r="C195" t="s">
        <v>8</v>
      </c>
      <c r="D195">
        <v>6</v>
      </c>
      <c r="E195">
        <v>4950.8100000000004</v>
      </c>
      <c r="F195">
        <f t="shared" ref="F195:F201" si="3">PRODUCT(D195,E195)</f>
        <v>29704.86</v>
      </c>
    </row>
    <row r="196" spans="1:6" x14ac:dyDescent="0.25">
      <c r="A196" s="3">
        <v>45343</v>
      </c>
      <c r="B196" t="s">
        <v>19</v>
      </c>
      <c r="C196" t="s">
        <v>14</v>
      </c>
      <c r="D196">
        <v>2</v>
      </c>
      <c r="E196">
        <v>1679.53</v>
      </c>
      <c r="F196">
        <f t="shared" si="3"/>
        <v>3359.06</v>
      </c>
    </row>
    <row r="197" spans="1:6" x14ac:dyDescent="0.25">
      <c r="A197" s="3">
        <v>45387</v>
      </c>
      <c r="B197" t="s">
        <v>18</v>
      </c>
      <c r="C197" t="s">
        <v>8</v>
      </c>
      <c r="D197">
        <v>3</v>
      </c>
      <c r="E197">
        <v>4068.38</v>
      </c>
      <c r="F197">
        <f t="shared" si="3"/>
        <v>12205.14</v>
      </c>
    </row>
    <row r="198" spans="1:6" x14ac:dyDescent="0.25">
      <c r="A198" s="3">
        <v>45679</v>
      </c>
      <c r="B198" t="s">
        <v>12</v>
      </c>
      <c r="C198" t="s">
        <v>6</v>
      </c>
      <c r="D198">
        <v>5</v>
      </c>
      <c r="E198">
        <v>1347.74</v>
      </c>
      <c r="F198">
        <f t="shared" si="3"/>
        <v>6738.7</v>
      </c>
    </row>
    <row r="199" spans="1:6" x14ac:dyDescent="0.25">
      <c r="A199" s="3">
        <v>45513</v>
      </c>
      <c r="B199" t="s">
        <v>12</v>
      </c>
      <c r="C199" t="s">
        <v>6</v>
      </c>
      <c r="D199">
        <v>9</v>
      </c>
      <c r="E199">
        <v>3439.36</v>
      </c>
      <c r="F199">
        <f t="shared" si="3"/>
        <v>30954.240000000002</v>
      </c>
    </row>
    <row r="200" spans="1:6" x14ac:dyDescent="0.25">
      <c r="A200" s="3">
        <v>45776</v>
      </c>
      <c r="B200" t="s">
        <v>18</v>
      </c>
      <c r="C200" t="s">
        <v>8</v>
      </c>
      <c r="D200">
        <v>2</v>
      </c>
      <c r="E200">
        <v>3825.12</v>
      </c>
      <c r="F200">
        <f t="shared" si="3"/>
        <v>7650.24</v>
      </c>
    </row>
    <row r="201" spans="1:6" x14ac:dyDescent="0.25">
      <c r="A201" s="3">
        <v>45698</v>
      </c>
      <c r="B201" t="s">
        <v>12</v>
      </c>
      <c r="C201" t="s">
        <v>6</v>
      </c>
      <c r="D201">
        <v>10</v>
      </c>
      <c r="E201">
        <v>3018.63</v>
      </c>
      <c r="F201">
        <f t="shared" si="3"/>
        <v>30186.300000000003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67EE-8ECE-4C87-9621-361DB634EADF}">
  <dimension ref="A1:J23"/>
  <sheetViews>
    <sheetView showGridLines="0" zoomScale="115" zoomScaleNormal="115" workbookViewId="0">
      <selection activeCell="I25" sqref="I25"/>
    </sheetView>
  </sheetViews>
  <sheetFormatPr defaultRowHeight="15" x14ac:dyDescent="0.25"/>
  <cols>
    <col min="1" max="1" width="19.140625" bestFit="1" customWidth="1"/>
    <col min="2" max="2" width="27.140625" bestFit="1" customWidth="1"/>
    <col min="5" max="5" width="36.85546875" bestFit="1" customWidth="1"/>
    <col min="6" max="6" width="20.85546875" bestFit="1" customWidth="1"/>
    <col min="9" max="9" width="19.140625" bestFit="1" customWidth="1"/>
    <col min="10" max="10" width="25.42578125" bestFit="1" customWidth="1"/>
  </cols>
  <sheetData>
    <row r="1" spans="1:10" ht="21" x14ac:dyDescent="0.35">
      <c r="A1" s="7" t="s">
        <v>25</v>
      </c>
      <c r="E1" s="7" t="s">
        <v>26</v>
      </c>
      <c r="I1" s="7" t="s">
        <v>27</v>
      </c>
    </row>
    <row r="2" spans="1:10" x14ac:dyDescent="0.25">
      <c r="A2" s="5" t="s">
        <v>23</v>
      </c>
      <c r="B2" t="s">
        <v>22</v>
      </c>
      <c r="E2" s="5" t="s">
        <v>24</v>
      </c>
      <c r="F2" t="s">
        <v>22</v>
      </c>
      <c r="I2" s="5" t="s">
        <v>24</v>
      </c>
      <c r="J2" t="s">
        <v>28</v>
      </c>
    </row>
    <row r="3" spans="1:10" x14ac:dyDescent="0.25">
      <c r="A3" s="6" t="s">
        <v>13</v>
      </c>
      <c r="B3">
        <v>209684.32</v>
      </c>
      <c r="E3" s="6" t="s">
        <v>6</v>
      </c>
      <c r="F3">
        <v>804805.19</v>
      </c>
      <c r="I3" s="6" t="s">
        <v>13</v>
      </c>
      <c r="J3">
        <v>101</v>
      </c>
    </row>
    <row r="4" spans="1:10" x14ac:dyDescent="0.25">
      <c r="A4" s="6" t="s">
        <v>16</v>
      </c>
      <c r="B4">
        <v>264256.20999999996</v>
      </c>
      <c r="E4" s="6" t="s">
        <v>8</v>
      </c>
      <c r="F4">
        <v>922496.46000000008</v>
      </c>
      <c r="I4" s="6" t="s">
        <v>16</v>
      </c>
      <c r="J4">
        <v>78</v>
      </c>
    </row>
    <row r="5" spans="1:10" x14ac:dyDescent="0.25">
      <c r="A5" s="6" t="s">
        <v>10</v>
      </c>
      <c r="B5">
        <v>175530.74000000002</v>
      </c>
      <c r="E5" s="6" t="s">
        <v>14</v>
      </c>
      <c r="F5">
        <v>928485.21</v>
      </c>
      <c r="I5" s="6" t="s">
        <v>10</v>
      </c>
      <c r="J5">
        <v>84</v>
      </c>
    </row>
    <row r="6" spans="1:10" x14ac:dyDescent="0.25">
      <c r="A6" s="6" t="s">
        <v>15</v>
      </c>
      <c r="B6">
        <v>287556.03000000003</v>
      </c>
      <c r="E6" s="6" t="s">
        <v>21</v>
      </c>
      <c r="F6">
        <v>2655786.86</v>
      </c>
      <c r="I6" s="6" t="s">
        <v>15</v>
      </c>
      <c r="J6">
        <v>92</v>
      </c>
    </row>
    <row r="7" spans="1:10" x14ac:dyDescent="0.25">
      <c r="A7" s="6" t="s">
        <v>11</v>
      </c>
      <c r="B7">
        <v>291976.31000000006</v>
      </c>
      <c r="I7" s="6" t="s">
        <v>11</v>
      </c>
      <c r="J7">
        <v>130</v>
      </c>
    </row>
    <row r="8" spans="1:10" x14ac:dyDescent="0.25">
      <c r="A8" s="6" t="s">
        <v>5</v>
      </c>
      <c r="B8">
        <v>132761.13</v>
      </c>
      <c r="I8" s="6" t="s">
        <v>5</v>
      </c>
      <c r="J8">
        <v>66</v>
      </c>
    </row>
    <row r="9" spans="1:10" ht="21" x14ac:dyDescent="0.35">
      <c r="A9" s="6" t="s">
        <v>17</v>
      </c>
      <c r="B9">
        <v>284115.26999999996</v>
      </c>
      <c r="E9" s="7" t="s">
        <v>41</v>
      </c>
      <c r="I9" s="6" t="s">
        <v>17</v>
      </c>
      <c r="J9">
        <v>114</v>
      </c>
    </row>
    <row r="10" spans="1:10" x14ac:dyDescent="0.25">
      <c r="A10" s="6" t="s">
        <v>7</v>
      </c>
      <c r="B10">
        <v>229793.44000000003</v>
      </c>
      <c r="E10" s="5" t="s">
        <v>24</v>
      </c>
      <c r="F10" t="s">
        <v>22</v>
      </c>
      <c r="I10" s="6" t="s">
        <v>7</v>
      </c>
      <c r="J10">
        <v>96</v>
      </c>
    </row>
    <row r="11" spans="1:10" x14ac:dyDescent="0.25">
      <c r="A11" s="6" t="s">
        <v>19</v>
      </c>
      <c r="B11">
        <v>166988.65</v>
      </c>
      <c r="E11" s="6" t="s">
        <v>29</v>
      </c>
      <c r="F11">
        <v>236566.69000000003</v>
      </c>
      <c r="I11" s="6" t="s">
        <v>19</v>
      </c>
      <c r="J11">
        <v>76</v>
      </c>
    </row>
    <row r="12" spans="1:10" x14ac:dyDescent="0.25">
      <c r="A12" s="6" t="s">
        <v>18</v>
      </c>
      <c r="B12">
        <v>116611.44</v>
      </c>
      <c r="E12" s="6" t="s">
        <v>30</v>
      </c>
      <c r="F12">
        <v>320968.52</v>
      </c>
      <c r="I12" s="6" t="s">
        <v>18</v>
      </c>
      <c r="J12">
        <v>52</v>
      </c>
    </row>
    <row r="13" spans="1:10" x14ac:dyDescent="0.25">
      <c r="A13" s="6" t="s">
        <v>12</v>
      </c>
      <c r="B13">
        <v>310675.88</v>
      </c>
      <c r="E13" s="6" t="s">
        <v>31</v>
      </c>
      <c r="F13">
        <v>288879.69</v>
      </c>
      <c r="I13" s="6" t="s">
        <v>12</v>
      </c>
      <c r="J13">
        <v>140</v>
      </c>
    </row>
    <row r="14" spans="1:10" x14ac:dyDescent="0.25">
      <c r="A14" s="6" t="s">
        <v>9</v>
      </c>
      <c r="B14">
        <v>185837.44</v>
      </c>
      <c r="E14" s="6" t="s">
        <v>32</v>
      </c>
      <c r="F14">
        <v>346527.78</v>
      </c>
      <c r="I14" s="6" t="s">
        <v>9</v>
      </c>
      <c r="J14">
        <v>76</v>
      </c>
    </row>
    <row r="15" spans="1:10" x14ac:dyDescent="0.25">
      <c r="A15" s="6" t="s">
        <v>21</v>
      </c>
      <c r="B15">
        <v>2655786.86</v>
      </c>
      <c r="E15" s="6" t="s">
        <v>33</v>
      </c>
      <c r="F15">
        <v>292076.39</v>
      </c>
      <c r="I15" s="6" t="s">
        <v>21</v>
      </c>
      <c r="J15">
        <v>1105</v>
      </c>
    </row>
    <row r="16" spans="1:10" x14ac:dyDescent="0.25">
      <c r="E16" s="6" t="s">
        <v>34</v>
      </c>
      <c r="F16">
        <v>116217.97</v>
      </c>
    </row>
    <row r="17" spans="5:6" x14ac:dyDescent="0.25">
      <c r="E17" s="6" t="s">
        <v>35</v>
      </c>
      <c r="F17">
        <v>189218.33</v>
      </c>
    </row>
    <row r="18" spans="5:6" x14ac:dyDescent="0.25">
      <c r="E18" s="6" t="s">
        <v>36</v>
      </c>
      <c r="F18">
        <v>234179.11</v>
      </c>
    </row>
    <row r="19" spans="5:6" x14ac:dyDescent="0.25">
      <c r="E19" s="6" t="s">
        <v>37</v>
      </c>
      <c r="F19">
        <v>170584.05000000002</v>
      </c>
    </row>
    <row r="20" spans="5:6" x14ac:dyDescent="0.25">
      <c r="E20" s="6" t="s">
        <v>38</v>
      </c>
      <c r="F20">
        <v>93226.020000000019</v>
      </c>
    </row>
    <row r="21" spans="5:6" x14ac:dyDescent="0.25">
      <c r="E21" s="6" t="s">
        <v>39</v>
      </c>
      <c r="F21">
        <v>104746.18000000001</v>
      </c>
    </row>
    <row r="22" spans="5:6" x14ac:dyDescent="0.25">
      <c r="E22" s="6" t="s">
        <v>40</v>
      </c>
      <c r="F22">
        <v>262596.13</v>
      </c>
    </row>
    <row r="23" spans="5:6" x14ac:dyDescent="0.25">
      <c r="E23" s="6" t="s">
        <v>21</v>
      </c>
      <c r="F23">
        <v>2655786.8600000003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25A3-EA4E-497E-B6F7-2D0A0852B543}">
  <dimension ref="M6"/>
  <sheetViews>
    <sheetView showGridLines="0" tabSelected="1" zoomScale="85" zoomScaleNormal="85" workbookViewId="0">
      <selection activeCell="M41" sqref="M41"/>
    </sheetView>
  </sheetViews>
  <sheetFormatPr defaultRowHeight="15" x14ac:dyDescent="0.25"/>
  <sheetData>
    <row r="6" spans="13:13" x14ac:dyDescent="0.25">
      <c r="M6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Database</vt:lpstr>
      <vt:lpstr>Tabelas Dinâmicas</vt:lpstr>
      <vt:lpstr>Visualização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NAGANO</cp:lastModifiedBy>
  <dcterms:created xsi:type="dcterms:W3CDTF">2026-01-14T00:58:58Z</dcterms:created>
  <dcterms:modified xsi:type="dcterms:W3CDTF">2026-01-14T02:56:32Z</dcterms:modified>
</cp:coreProperties>
</file>